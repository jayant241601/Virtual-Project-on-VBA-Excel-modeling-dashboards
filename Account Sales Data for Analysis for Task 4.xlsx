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hidePivotFieldList="1" defaultThemeVersion="166925"/>
  <mc:AlternateContent xmlns:mc="http://schemas.openxmlformats.org/markup-compatibility/2006">
    <mc:Choice Requires="x15">
      <x15ac:absPath xmlns:x15ac="http://schemas.microsoft.com/office/spreadsheetml/2010/11/ac" url="C:\Users\DELL\OneDrive\Desktop\excel by jp morgan\"/>
    </mc:Choice>
  </mc:AlternateContent>
  <xr:revisionPtr revIDLastSave="0" documentId="13_ncr:1_{4B0BF4DF-E8E1-456D-88DF-1F82418B8735}" xr6:coauthVersionLast="46" xr6:coauthVersionMax="47" xr10:uidLastSave="{00000000-0000-0000-0000-000000000000}"/>
  <bookViews>
    <workbookView xWindow="-120" yWindow="-120" windowWidth="20730" windowHeight="11160" activeTab="1" xr2:uid="{88D75A90-26BD-438C-8A87-D80F31A6A432}"/>
  </bookViews>
  <sheets>
    <sheet name="Sheet3" sheetId="3" r:id="rId1"/>
    <sheet name="Sheet1" sheetId="1" r:id="rId2"/>
    <sheet name="Sheet5" sheetId="5" r:id="rId3"/>
  </sheets>
  <definedNames>
    <definedName name="Slicer_Column15">#N/A</definedName>
    <definedName name="Slicer_Column5">#N/A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2" i="1" l="1"/>
  <c r="R8" i="1"/>
  <c r="R6" i="1"/>
  <c r="R7" i="1"/>
  <c r="R9" i="1"/>
  <c r="R10" i="1"/>
  <c r="R11"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5" i="1"/>
</calcChain>
</file>

<file path=xl/sharedStrings.xml><?xml version="1.0" encoding="utf-8"?>
<sst xmlns="http://schemas.openxmlformats.org/spreadsheetml/2006/main" count="827" uniqueCount="275">
  <si>
    <t xml:space="preserve">JPMC Excel Skills Virtual Experience Hypothetical Account Dataset </t>
  </si>
  <si>
    <t>Account Name</t>
  </si>
  <si>
    <t>Account Address</t>
  </si>
  <si>
    <t>Decision Maker</t>
  </si>
  <si>
    <t>Phone Number</t>
  </si>
  <si>
    <t>Account Type</t>
  </si>
  <si>
    <t>Product 1</t>
  </si>
  <si>
    <t>Product 2</t>
  </si>
  <si>
    <t>Product 3</t>
  </si>
  <si>
    <t>Social Media</t>
  </si>
  <si>
    <t>Coupons</t>
  </si>
  <si>
    <t>Catalog Inclusion</t>
  </si>
  <si>
    <t>Posters</t>
  </si>
  <si>
    <t>5 YR CAGR</t>
  </si>
  <si>
    <t>SB 1</t>
  </si>
  <si>
    <t>2131 Patterson Road, Brooklyn NY 11201</t>
  </si>
  <si>
    <t>Dorothy Rizzo</t>
  </si>
  <si>
    <t>(880) 283-6803</t>
  </si>
  <si>
    <t>Small Business</t>
  </si>
  <si>
    <t>Yes</t>
  </si>
  <si>
    <t>SB 2</t>
  </si>
  <si>
    <t>3685 Morningview Lane, New York NY 10013</t>
  </si>
  <si>
    <t>Lawson Moore</t>
  </si>
  <si>
    <t>(711) 426-7350</t>
  </si>
  <si>
    <t>No</t>
  </si>
  <si>
    <t>SB 3</t>
  </si>
  <si>
    <t>2285 Ladybug Drive, New York NY 10013</t>
  </si>
  <si>
    <t>Vin Hudson</t>
  </si>
  <si>
    <t>(952) 952-5573</t>
  </si>
  <si>
    <t>SB 4</t>
  </si>
  <si>
    <t>2930 Southern Street, New York NY 10005</t>
  </si>
  <si>
    <t>Susana Huels</t>
  </si>
  <si>
    <t>(491) 505-6064</t>
  </si>
  <si>
    <t>SB 5</t>
  </si>
  <si>
    <t>2807 Geraldine Lane, New York NY 10004</t>
  </si>
  <si>
    <t>Shanna Hettinger</t>
  </si>
  <si>
    <t>(412) 570-0596</t>
  </si>
  <si>
    <t>SB 6</t>
  </si>
  <si>
    <t>7778 Cherry Road, Bronx NY 10467</t>
  </si>
  <si>
    <t>Roy McGlynn</t>
  </si>
  <si>
    <t>(594) 807-4187</t>
  </si>
  <si>
    <t>SB 7</t>
  </si>
  <si>
    <t>48 Winchester Avenue, New York NY 10024</t>
  </si>
  <si>
    <t>Lorena Posacco</t>
  </si>
  <si>
    <t>(678) 294-8103</t>
  </si>
  <si>
    <t>SB 8</t>
  </si>
  <si>
    <t>8735 Squaw Creek Drive, Brooklyn NY 11214</t>
  </si>
  <si>
    <t>Juanita Wisozk</t>
  </si>
  <si>
    <t>(305) 531-1310</t>
  </si>
  <si>
    <t>SB 9</t>
  </si>
  <si>
    <t>267 Third Road, New York NY 10034</t>
  </si>
  <si>
    <t>Velma Riley</t>
  </si>
  <si>
    <t>(697) 543-0310</t>
  </si>
  <si>
    <t>SB 10</t>
  </si>
  <si>
    <t>102 Coffee Court, Bronx NY 10461</t>
  </si>
  <si>
    <t>Holly Gaines</t>
  </si>
  <si>
    <t>(277) 456-4626</t>
  </si>
  <si>
    <t>SB 11</t>
  </si>
  <si>
    <t>44 W. Pheasant Street, Brooklyn NY 11233</t>
  </si>
  <si>
    <t>Gary Brown</t>
  </si>
  <si>
    <t>(459) 968-9453</t>
  </si>
  <si>
    <t>SB 12</t>
  </si>
  <si>
    <t>7488 N. Marconi Ave, Brooklyn NY 11237</t>
  </si>
  <si>
    <t>Jeffrey Akins</t>
  </si>
  <si>
    <t>(313) 417-8968</t>
  </si>
  <si>
    <t>SB 13</t>
  </si>
  <si>
    <t>9575 Shipley Court, Brooklyn NY 11201</t>
  </si>
  <si>
    <t>Tim Young</t>
  </si>
  <si>
    <t>(876) 653-1727</t>
  </si>
  <si>
    <t>SB 14</t>
  </si>
  <si>
    <t>8156 Lake View Street, New York, NY 10025</t>
  </si>
  <si>
    <t>Debra Kroll</t>
  </si>
  <si>
    <t>(628) 832-4986</t>
  </si>
  <si>
    <t>SB 15</t>
  </si>
  <si>
    <t>44 Madison Dr, New York NY 10032</t>
  </si>
  <si>
    <t>Kelly Boyd</t>
  </si>
  <si>
    <t>(220) 929-0797</t>
  </si>
  <si>
    <t>MB 1</t>
  </si>
  <si>
    <t>9848 Linden St, New York NY 10011</t>
  </si>
  <si>
    <t>Dan Hill</t>
  </si>
  <si>
    <t>(248) 450-0797</t>
  </si>
  <si>
    <t>Medium Business</t>
  </si>
  <si>
    <t>MB 2</t>
  </si>
  <si>
    <t>805 South Pilgrim Court, Brooklyn NY 11225</t>
  </si>
  <si>
    <t>Javier George</t>
  </si>
  <si>
    <t>(964) 214-3742</t>
  </si>
  <si>
    <t>MB 3</t>
  </si>
  <si>
    <t>9132 Redwood Rd, Bronx NY 10466</t>
  </si>
  <si>
    <t>Christopher Evans</t>
  </si>
  <si>
    <t>(831) 406-6300</t>
  </si>
  <si>
    <t>MB 4</t>
  </si>
  <si>
    <t>3 Warren Drive, New York NY 10040</t>
  </si>
  <si>
    <t>Julie Ross</t>
  </si>
  <si>
    <t>(778) 387-0744</t>
  </si>
  <si>
    <t>MB 5</t>
  </si>
  <si>
    <t>402 Bridgeton Lane, Bronx NY 10468</t>
  </si>
  <si>
    <t>Bill Callahan</t>
  </si>
  <si>
    <t>(617) 419-7996</t>
  </si>
  <si>
    <t>MB 6</t>
  </si>
  <si>
    <t>6 E. Nichols Ave, New York NY 10027</t>
  </si>
  <si>
    <t>Anthony Brooks</t>
  </si>
  <si>
    <t>(349) 801-7566</t>
  </si>
  <si>
    <t>MB 7</t>
  </si>
  <si>
    <t>323 North Edgewood St, Bronx NY 10457</t>
  </si>
  <si>
    <t>Charlotte Leroux</t>
  </si>
  <si>
    <t>(784) 634-6873</t>
  </si>
  <si>
    <t>MB 8</t>
  </si>
  <si>
    <t>484 Thorne St, New York NY 10128</t>
  </si>
  <si>
    <t>Nina Coulter</t>
  </si>
  <si>
    <t>(938) 752-9381</t>
  </si>
  <si>
    <t>MB 9</t>
  </si>
  <si>
    <t>861 Gonzales Lane, Bronx NY 10472</t>
  </si>
  <si>
    <t>Mia Ang</t>
  </si>
  <si>
    <t>(253) 861-1301</t>
  </si>
  <si>
    <t>MB 10</t>
  </si>
  <si>
    <t>267 Randall Mill Dr, New York NY 10033</t>
  </si>
  <si>
    <t>Kathy Rogers</t>
  </si>
  <si>
    <t>(939) 738-6471</t>
  </si>
  <si>
    <t>MB 11</t>
  </si>
  <si>
    <t>12 Lees Creek St, Brooklyn NY 11211</t>
  </si>
  <si>
    <t>Rita Varga</t>
  </si>
  <si>
    <t>(754) 696-3109</t>
  </si>
  <si>
    <t>MB 12</t>
  </si>
  <si>
    <t>240 W. Manhattan St, Bronx NY 10462</t>
  </si>
  <si>
    <t>Mel Berkowitz</t>
  </si>
  <si>
    <t>(967) 547-1542</t>
  </si>
  <si>
    <t>MB 13</t>
  </si>
  <si>
    <t>62 Lower River Road, Staten Island, NY 10306</t>
  </si>
  <si>
    <t>Debra Martin</t>
  </si>
  <si>
    <t>(743) 960-6716</t>
  </si>
  <si>
    <t>MB 14</t>
  </si>
  <si>
    <t>48 S. Brandywine St, New York NY 10002</t>
  </si>
  <si>
    <t>Deshaun Fletcher</t>
  </si>
  <si>
    <t>(845) 304-6511</t>
  </si>
  <si>
    <t>MB 15</t>
  </si>
  <si>
    <t>5 Tallwood St, Brooklyn NY 11233</t>
  </si>
  <si>
    <t>Kari Lenz</t>
  </si>
  <si>
    <t>(886) 554-5339</t>
  </si>
  <si>
    <t>OR 1</t>
  </si>
  <si>
    <t>77 Stillwater St, Brooklyn NY 11213</t>
  </si>
  <si>
    <t>John Mackey</t>
  </si>
  <si>
    <t>(831) 581-1892</t>
  </si>
  <si>
    <t>Online Retailer</t>
  </si>
  <si>
    <t>OR 2</t>
  </si>
  <si>
    <t>7061 Bishop St, Yonkers NY 10701</t>
  </si>
  <si>
    <t>Raymond Heywin</t>
  </si>
  <si>
    <t>(571) 843-1746</t>
  </si>
  <si>
    <t>OR 3</t>
  </si>
  <si>
    <t>7223 Cedarwood Ave, Brooklyn NY 11221</t>
  </si>
  <si>
    <t>Janie Roberson</t>
  </si>
  <si>
    <t>(924) 516-6566</t>
  </si>
  <si>
    <t>OR 4</t>
  </si>
  <si>
    <t>62 Lafayette Ave, Bronx NY 10462</t>
  </si>
  <si>
    <t>Brooke Hayes</t>
  </si>
  <si>
    <t>(247) 999-3394</t>
  </si>
  <si>
    <t>OR 5</t>
  </si>
  <si>
    <t>7839 Elm St, Staten Island NY 10306</t>
  </si>
  <si>
    <t>Lee Niemeyer</t>
  </si>
  <si>
    <t>(920) 451-3973</t>
  </si>
  <si>
    <t>OR 6</t>
  </si>
  <si>
    <t>429 Stonybrook Dr, Brooklyn NY 11203</t>
  </si>
  <si>
    <t>Stephen Harris</t>
  </si>
  <si>
    <t>(258) 948-7479</t>
  </si>
  <si>
    <t>OR 7</t>
  </si>
  <si>
    <t>640 Beechwood Dr, Bronx NY 10461</t>
  </si>
  <si>
    <t>Juan Scott</t>
  </si>
  <si>
    <t>(357) 532-0838</t>
  </si>
  <si>
    <t>OR 8</t>
  </si>
  <si>
    <t>9453 N. Wagon Lane, Brooklyn NY 11237</t>
  </si>
  <si>
    <t>Kurt Issacs</t>
  </si>
  <si>
    <t>(454) 903-5770</t>
  </si>
  <si>
    <t>OR 9</t>
  </si>
  <si>
    <t>81 San Carlos Road, Bronx NY 10463</t>
  </si>
  <si>
    <t>Dominique Johnson</t>
  </si>
  <si>
    <t>(336) 448-7026</t>
  </si>
  <si>
    <t>OR 10</t>
  </si>
  <si>
    <t>596 Coffee St, Bronx NY 10472</t>
  </si>
  <si>
    <t>Larry Alaimo</t>
  </si>
  <si>
    <t>(242) 869-1226</t>
  </si>
  <si>
    <t>OR 11</t>
  </si>
  <si>
    <t>92 Princess St, New York NY 10033</t>
  </si>
  <si>
    <t>Carlos Moya</t>
  </si>
  <si>
    <t>(485) 453-8693</t>
  </si>
  <si>
    <t>OR 12</t>
  </si>
  <si>
    <t>9151 River St, Brooklyn NY 11230</t>
  </si>
  <si>
    <t>Shaun Salvatore</t>
  </si>
  <si>
    <t>(691) 657-1498</t>
  </si>
  <si>
    <t>OR 13</t>
  </si>
  <si>
    <t>424 Hall Ave, New York NY 10128</t>
  </si>
  <si>
    <t>Annie Fuentes</t>
  </si>
  <si>
    <t>(462) 693-6254</t>
  </si>
  <si>
    <t>OR 14</t>
  </si>
  <si>
    <t>81 Crescent St, Brooklyn NY 11210</t>
  </si>
  <si>
    <t>Maria Sawyer</t>
  </si>
  <si>
    <t>(881) 243-5276</t>
  </si>
  <si>
    <t>OR 15</t>
  </si>
  <si>
    <t>7217 Birch Hill Dr, New York NY 10009</t>
  </si>
  <si>
    <t>Darnell Straughter</t>
  </si>
  <si>
    <t>(680) 628-4625</t>
  </si>
  <si>
    <t>WD 1</t>
  </si>
  <si>
    <t>7184 Center Court, Brooklyn NY 11208</t>
  </si>
  <si>
    <t>Richard Breaux</t>
  </si>
  <si>
    <t>(685) 981-8556</t>
  </si>
  <si>
    <t>Wholesale Distributor</t>
  </si>
  <si>
    <t>WD 2</t>
  </si>
  <si>
    <t>815 2nd St, New York NY 10028</t>
  </si>
  <si>
    <t>Craig Collins</t>
  </si>
  <si>
    <t>(828) 840-2736</t>
  </si>
  <si>
    <t>WD 3</t>
  </si>
  <si>
    <t>9875 Franklin Rd, Brooklyn NY 11223</t>
  </si>
  <si>
    <t>Donna Lam</t>
  </si>
  <si>
    <t>(931) 618-9558</t>
  </si>
  <si>
    <t>WD 4</t>
  </si>
  <si>
    <t>601 Bank Ave, Brooklyn NY 11218</t>
  </si>
  <si>
    <t>Teresa Vasbinder</t>
  </si>
  <si>
    <t>(261) 690-0303</t>
  </si>
  <si>
    <t>WD 5</t>
  </si>
  <si>
    <t>21 Yukon St, Bronx NY 10451</t>
  </si>
  <si>
    <t>Andre Mobley</t>
  </si>
  <si>
    <t>(597) 701-9429</t>
  </si>
  <si>
    <t>WD 6</t>
  </si>
  <si>
    <t>18 N. Woodland Ave, New York NY 10025</t>
  </si>
  <si>
    <t>Ray Hernandez</t>
  </si>
  <si>
    <t>(609) 345-8163</t>
  </si>
  <si>
    <t>WD 7</t>
  </si>
  <si>
    <t>65 Lower River Ave, Bronx NY 10465</t>
  </si>
  <si>
    <t>Thomas Stewart</t>
  </si>
  <si>
    <t>(381) 643-1230</t>
  </si>
  <si>
    <t>WD 8</t>
  </si>
  <si>
    <t>8680 Alderwood St, New York NY 10032</t>
  </si>
  <si>
    <t>Henry Lange</t>
  </si>
  <si>
    <t>(293) 473-1512</t>
  </si>
  <si>
    <t>WD 9</t>
  </si>
  <si>
    <t>8388 Gonzales St, Brooklyn NY 11228</t>
  </si>
  <si>
    <t>Danielle Tomas</t>
  </si>
  <si>
    <t>(459) 261-2301</t>
  </si>
  <si>
    <t>WD 10</t>
  </si>
  <si>
    <t>9760 Taylor Dr, Brooklyn NY 11211</t>
  </si>
  <si>
    <t>Joe Schimke</t>
  </si>
  <si>
    <t>(936) 816-9148</t>
  </si>
  <si>
    <t>WD 11</t>
  </si>
  <si>
    <t>419 E. Henry Ave, New York NY 10031</t>
  </si>
  <si>
    <t>Carlos Jackson</t>
  </si>
  <si>
    <t>(201) 363-0653</t>
  </si>
  <si>
    <t>WD 12</t>
  </si>
  <si>
    <t>8083 8th St, Brooklyn NY 11209</t>
  </si>
  <si>
    <t>Russell Wallace</t>
  </si>
  <si>
    <t>(237) 890-0247</t>
  </si>
  <si>
    <t>WD 13</t>
  </si>
  <si>
    <t>2 Rock Maple Ave, New York NY 10029</t>
  </si>
  <si>
    <t>Shameka West</t>
  </si>
  <si>
    <t>(488) 656-0761</t>
  </si>
  <si>
    <t>WD 14</t>
  </si>
  <si>
    <t>9577 Nicolls Ave, Staten Island NY 10312</t>
  </si>
  <si>
    <t>Kevin Fleming</t>
  </si>
  <si>
    <t>(650) 848-8284</t>
  </si>
  <si>
    <t>WD 15</t>
  </si>
  <si>
    <t>174 Del Monte St, Brooklyn NY 11224</t>
  </si>
  <si>
    <t>Anna Grey</t>
  </si>
  <si>
    <t>(980) 437-1451</t>
  </si>
  <si>
    <t>Sum of Column11</t>
  </si>
  <si>
    <t>Sum of Column12</t>
  </si>
  <si>
    <t>Sum of Column13</t>
  </si>
  <si>
    <t>Sum of Column14</t>
  </si>
  <si>
    <t>Row Labels</t>
  </si>
  <si>
    <t>Grand Total</t>
  </si>
  <si>
    <t>Sum of Product 1 Sales Volume (units)</t>
  </si>
  <si>
    <t>Count of Product Lines</t>
  </si>
  <si>
    <t>Count of Column6</t>
  </si>
  <si>
    <t>2017</t>
  </si>
  <si>
    <t>2018</t>
  </si>
  <si>
    <t>2019</t>
  </si>
  <si>
    <t>2020</t>
  </si>
  <si>
    <t>2021</t>
  </si>
  <si>
    <t>Count of Column7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</si>
</sst>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9"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0" borderId="0" xfId="0" applyNumberFormat="1"/>
  </cellXfs>
  <cellStyles count="1">
    <cellStyle name="Normal" xfId="0" builtinId="0"/>
  </cellStyles>
  <dxfs count="19">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3" formatCode="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 Sales Data for Analysis for Task 4.xlsx]Sheet3!PivotTable1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Sum of Product 1 Sales Volume (units)</c:v>
                </c:pt>
              </c:strCache>
            </c:strRef>
          </c:tx>
          <c:spPr>
            <a:solidFill>
              <a:schemeClr val="accent1"/>
            </a:solidFill>
            <a:ln>
              <a:noFill/>
            </a:ln>
            <a:effectLst/>
          </c:spPr>
          <c:invertIfNegative val="0"/>
          <c:cat>
            <c:strRef>
              <c:f>Sheet3!$A$4:$A$65</c:f>
              <c:strCache>
                <c:ptCount val="61"/>
                <c:pt idx="0">
                  <c:v>Andre Mobley</c:v>
                </c:pt>
                <c:pt idx="1">
                  <c:v>Anna Grey</c:v>
                </c:pt>
                <c:pt idx="2">
                  <c:v>Annie Fuentes</c:v>
                </c:pt>
                <c:pt idx="3">
                  <c:v>Anthony Brooks</c:v>
                </c:pt>
                <c:pt idx="4">
                  <c:v>Bill Callahan</c:v>
                </c:pt>
                <c:pt idx="5">
                  <c:v>Brooke Hayes</c:v>
                </c:pt>
                <c:pt idx="6">
                  <c:v>Carlos Jackson</c:v>
                </c:pt>
                <c:pt idx="7">
                  <c:v>Carlos Moya</c:v>
                </c:pt>
                <c:pt idx="8">
                  <c:v>Charlotte Leroux</c:v>
                </c:pt>
                <c:pt idx="9">
                  <c:v>Christopher Evans</c:v>
                </c:pt>
                <c:pt idx="10">
                  <c:v>Craig Collins</c:v>
                </c:pt>
                <c:pt idx="11">
                  <c:v>Dan Hill</c:v>
                </c:pt>
                <c:pt idx="12">
                  <c:v>Danielle Tomas</c:v>
                </c:pt>
                <c:pt idx="13">
                  <c:v>Darnell Straughter</c:v>
                </c:pt>
                <c:pt idx="14">
                  <c:v>Debra Kroll</c:v>
                </c:pt>
                <c:pt idx="15">
                  <c:v>Debra Martin</c:v>
                </c:pt>
                <c:pt idx="16">
                  <c:v>Decision Maker</c:v>
                </c:pt>
                <c:pt idx="17">
                  <c:v>Deshaun Fletcher</c:v>
                </c:pt>
                <c:pt idx="18">
                  <c:v>Dominique Johnson</c:v>
                </c:pt>
                <c:pt idx="19">
                  <c:v>Donna Lam</c:v>
                </c:pt>
                <c:pt idx="20">
                  <c:v>Dorothy Rizzo</c:v>
                </c:pt>
                <c:pt idx="21">
                  <c:v>Gary Brown</c:v>
                </c:pt>
                <c:pt idx="22">
                  <c:v>Henry Lange</c:v>
                </c:pt>
                <c:pt idx="23">
                  <c:v>Holly Gaines</c:v>
                </c:pt>
                <c:pt idx="24">
                  <c:v>Janie Roberson</c:v>
                </c:pt>
                <c:pt idx="25">
                  <c:v>Javier George</c:v>
                </c:pt>
                <c:pt idx="26">
                  <c:v>Jeffrey Akins</c:v>
                </c:pt>
                <c:pt idx="27">
                  <c:v>Joe Schimke</c:v>
                </c:pt>
                <c:pt idx="28">
                  <c:v>John Mackey</c:v>
                </c:pt>
                <c:pt idx="29">
                  <c:v>Juan Scott</c:v>
                </c:pt>
                <c:pt idx="30">
                  <c:v>Juanita Wisozk</c:v>
                </c:pt>
                <c:pt idx="31">
                  <c:v>Julie Ross</c:v>
                </c:pt>
                <c:pt idx="32">
                  <c:v>Kari Lenz</c:v>
                </c:pt>
                <c:pt idx="33">
                  <c:v>Kathy Rogers</c:v>
                </c:pt>
                <c:pt idx="34">
                  <c:v>Kelly Boyd</c:v>
                </c:pt>
                <c:pt idx="35">
                  <c:v>Kevin Fleming</c:v>
                </c:pt>
                <c:pt idx="36">
                  <c:v>Kurt Issacs</c:v>
                </c:pt>
                <c:pt idx="37">
                  <c:v>Larry Alaimo</c:v>
                </c:pt>
                <c:pt idx="38">
                  <c:v>Lawson Moore</c:v>
                </c:pt>
                <c:pt idx="39">
                  <c:v>Lee Niemeyer</c:v>
                </c:pt>
                <c:pt idx="40">
                  <c:v>Lorena Posacco</c:v>
                </c:pt>
                <c:pt idx="41">
                  <c:v>Maria Sawyer</c:v>
                </c:pt>
                <c:pt idx="42">
                  <c:v>Mel Berkowitz</c:v>
                </c:pt>
                <c:pt idx="43">
                  <c:v>Mia Ang</c:v>
                </c:pt>
                <c:pt idx="44">
                  <c:v>Nina Coulter</c:v>
                </c:pt>
                <c:pt idx="45">
                  <c:v>Ray Hernandez</c:v>
                </c:pt>
                <c:pt idx="46">
                  <c:v>Raymond Heywin</c:v>
                </c:pt>
                <c:pt idx="47">
                  <c:v>Richard Breaux</c:v>
                </c:pt>
                <c:pt idx="48">
                  <c:v>Rita Varga</c:v>
                </c:pt>
                <c:pt idx="49">
                  <c:v>Roy McGlynn</c:v>
                </c:pt>
                <c:pt idx="50">
                  <c:v>Russell Wallace</c:v>
                </c:pt>
                <c:pt idx="51">
                  <c:v>Shameka West</c:v>
                </c:pt>
                <c:pt idx="52">
                  <c:v>Shanna Hettinger</c:v>
                </c:pt>
                <c:pt idx="53">
                  <c:v>Shaun Salvatore</c:v>
                </c:pt>
                <c:pt idx="54">
                  <c:v>Stephen Harris</c:v>
                </c:pt>
                <c:pt idx="55">
                  <c:v>Susana Huels</c:v>
                </c:pt>
                <c:pt idx="56">
                  <c:v>Teresa Vasbinder</c:v>
                </c:pt>
                <c:pt idx="57">
                  <c:v>Thomas Stewart</c:v>
                </c:pt>
                <c:pt idx="58">
                  <c:v>Tim Young</c:v>
                </c:pt>
                <c:pt idx="59">
                  <c:v>Velma Riley</c:v>
                </c:pt>
                <c:pt idx="60">
                  <c:v>Vin Hudson</c:v>
                </c:pt>
              </c:strCache>
            </c:strRef>
          </c:cat>
          <c:val>
            <c:numRef>
              <c:f>Sheet3!$B$4:$B$65</c:f>
              <c:numCache>
                <c:formatCode>General</c:formatCode>
                <c:ptCount val="61"/>
                <c:pt idx="0">
                  <c:v>870</c:v>
                </c:pt>
                <c:pt idx="1">
                  <c:v>1014</c:v>
                </c:pt>
                <c:pt idx="2">
                  <c:v>8891</c:v>
                </c:pt>
                <c:pt idx="3">
                  <c:v>238</c:v>
                </c:pt>
                <c:pt idx="4">
                  <c:v>73</c:v>
                </c:pt>
                <c:pt idx="5">
                  <c:v>3297</c:v>
                </c:pt>
                <c:pt idx="6">
                  <c:v>128</c:v>
                </c:pt>
                <c:pt idx="7">
                  <c:v>7840</c:v>
                </c:pt>
                <c:pt idx="8">
                  <c:v>1368</c:v>
                </c:pt>
                <c:pt idx="9">
                  <c:v>700</c:v>
                </c:pt>
                <c:pt idx="10">
                  <c:v>299</c:v>
                </c:pt>
                <c:pt idx="11">
                  <c:v>3501</c:v>
                </c:pt>
                <c:pt idx="12">
                  <c:v>1357</c:v>
                </c:pt>
                <c:pt idx="13">
                  <c:v>431</c:v>
                </c:pt>
                <c:pt idx="14">
                  <c:v>861</c:v>
                </c:pt>
                <c:pt idx="15">
                  <c:v>6309</c:v>
                </c:pt>
                <c:pt idx="16">
                  <c:v>2017</c:v>
                </c:pt>
                <c:pt idx="17">
                  <c:v>712</c:v>
                </c:pt>
                <c:pt idx="18">
                  <c:v>488</c:v>
                </c:pt>
                <c:pt idx="19">
                  <c:v>1323</c:v>
                </c:pt>
                <c:pt idx="20">
                  <c:v>1982</c:v>
                </c:pt>
                <c:pt idx="21">
                  <c:v>7555</c:v>
                </c:pt>
                <c:pt idx="22">
                  <c:v>9791</c:v>
                </c:pt>
                <c:pt idx="23">
                  <c:v>1530</c:v>
                </c:pt>
                <c:pt idx="24">
                  <c:v>8873</c:v>
                </c:pt>
                <c:pt idx="25">
                  <c:v>3916</c:v>
                </c:pt>
                <c:pt idx="26">
                  <c:v>1532</c:v>
                </c:pt>
                <c:pt idx="27">
                  <c:v>576</c:v>
                </c:pt>
                <c:pt idx="28">
                  <c:v>2519</c:v>
                </c:pt>
                <c:pt idx="29">
                  <c:v>742</c:v>
                </c:pt>
                <c:pt idx="30">
                  <c:v>1581</c:v>
                </c:pt>
                <c:pt idx="31">
                  <c:v>9773</c:v>
                </c:pt>
                <c:pt idx="32">
                  <c:v>2390</c:v>
                </c:pt>
                <c:pt idx="33">
                  <c:v>570</c:v>
                </c:pt>
                <c:pt idx="34">
                  <c:v>9058</c:v>
                </c:pt>
                <c:pt idx="35">
                  <c:v>1032</c:v>
                </c:pt>
                <c:pt idx="36">
                  <c:v>7703</c:v>
                </c:pt>
                <c:pt idx="37">
                  <c:v>376</c:v>
                </c:pt>
                <c:pt idx="38">
                  <c:v>2786</c:v>
                </c:pt>
                <c:pt idx="39">
                  <c:v>1092</c:v>
                </c:pt>
                <c:pt idx="40">
                  <c:v>9252</c:v>
                </c:pt>
                <c:pt idx="41">
                  <c:v>1290</c:v>
                </c:pt>
                <c:pt idx="42">
                  <c:v>209</c:v>
                </c:pt>
                <c:pt idx="43">
                  <c:v>1779</c:v>
                </c:pt>
                <c:pt idx="44">
                  <c:v>8331</c:v>
                </c:pt>
                <c:pt idx="45">
                  <c:v>1497</c:v>
                </c:pt>
                <c:pt idx="46">
                  <c:v>138</c:v>
                </c:pt>
                <c:pt idx="47">
                  <c:v>8156</c:v>
                </c:pt>
                <c:pt idx="48">
                  <c:v>6156</c:v>
                </c:pt>
                <c:pt idx="49">
                  <c:v>2341</c:v>
                </c:pt>
                <c:pt idx="50">
                  <c:v>8034</c:v>
                </c:pt>
                <c:pt idx="51">
                  <c:v>1263</c:v>
                </c:pt>
                <c:pt idx="52">
                  <c:v>1421</c:v>
                </c:pt>
                <c:pt idx="53">
                  <c:v>1038</c:v>
                </c:pt>
                <c:pt idx="54">
                  <c:v>2541</c:v>
                </c:pt>
                <c:pt idx="55">
                  <c:v>906</c:v>
                </c:pt>
                <c:pt idx="56">
                  <c:v>8466</c:v>
                </c:pt>
                <c:pt idx="57">
                  <c:v>1082</c:v>
                </c:pt>
                <c:pt idx="58">
                  <c:v>24</c:v>
                </c:pt>
                <c:pt idx="59">
                  <c:v>9766</c:v>
                </c:pt>
                <c:pt idx="60">
                  <c:v>1209</c:v>
                </c:pt>
              </c:numCache>
            </c:numRef>
          </c:val>
          <c:extLst>
            <c:ext xmlns:c16="http://schemas.microsoft.com/office/drawing/2014/chart" uri="{C3380CC4-5D6E-409C-BE32-E72D297353CC}">
              <c16:uniqueId val="{000002A4-40DC-425C-9DB9-046E9A43840F}"/>
            </c:ext>
          </c:extLst>
        </c:ser>
        <c:ser>
          <c:idx val="1"/>
          <c:order val="1"/>
          <c:tx>
            <c:strRef>
              <c:f>Sheet3!$C$3</c:f>
              <c:strCache>
                <c:ptCount val="1"/>
                <c:pt idx="0">
                  <c:v>Sum of Column11</c:v>
                </c:pt>
              </c:strCache>
            </c:strRef>
          </c:tx>
          <c:spPr>
            <a:solidFill>
              <a:schemeClr val="accent2"/>
            </a:solidFill>
            <a:ln>
              <a:noFill/>
            </a:ln>
            <a:effectLst/>
          </c:spPr>
          <c:invertIfNegative val="0"/>
          <c:cat>
            <c:strRef>
              <c:f>Sheet3!$A$4:$A$65</c:f>
              <c:strCache>
                <c:ptCount val="61"/>
                <c:pt idx="0">
                  <c:v>Andre Mobley</c:v>
                </c:pt>
                <c:pt idx="1">
                  <c:v>Anna Grey</c:v>
                </c:pt>
                <c:pt idx="2">
                  <c:v>Annie Fuentes</c:v>
                </c:pt>
                <c:pt idx="3">
                  <c:v>Anthony Brooks</c:v>
                </c:pt>
                <c:pt idx="4">
                  <c:v>Bill Callahan</c:v>
                </c:pt>
                <c:pt idx="5">
                  <c:v>Brooke Hayes</c:v>
                </c:pt>
                <c:pt idx="6">
                  <c:v>Carlos Jackson</c:v>
                </c:pt>
                <c:pt idx="7">
                  <c:v>Carlos Moya</c:v>
                </c:pt>
                <c:pt idx="8">
                  <c:v>Charlotte Leroux</c:v>
                </c:pt>
                <c:pt idx="9">
                  <c:v>Christopher Evans</c:v>
                </c:pt>
                <c:pt idx="10">
                  <c:v>Craig Collins</c:v>
                </c:pt>
                <c:pt idx="11">
                  <c:v>Dan Hill</c:v>
                </c:pt>
                <c:pt idx="12">
                  <c:v>Danielle Tomas</c:v>
                </c:pt>
                <c:pt idx="13">
                  <c:v>Darnell Straughter</c:v>
                </c:pt>
                <c:pt idx="14">
                  <c:v>Debra Kroll</c:v>
                </c:pt>
                <c:pt idx="15">
                  <c:v>Debra Martin</c:v>
                </c:pt>
                <c:pt idx="16">
                  <c:v>Decision Maker</c:v>
                </c:pt>
                <c:pt idx="17">
                  <c:v>Deshaun Fletcher</c:v>
                </c:pt>
                <c:pt idx="18">
                  <c:v>Dominique Johnson</c:v>
                </c:pt>
                <c:pt idx="19">
                  <c:v>Donna Lam</c:v>
                </c:pt>
                <c:pt idx="20">
                  <c:v>Dorothy Rizzo</c:v>
                </c:pt>
                <c:pt idx="21">
                  <c:v>Gary Brown</c:v>
                </c:pt>
                <c:pt idx="22">
                  <c:v>Henry Lange</c:v>
                </c:pt>
                <c:pt idx="23">
                  <c:v>Holly Gaines</c:v>
                </c:pt>
                <c:pt idx="24">
                  <c:v>Janie Roberson</c:v>
                </c:pt>
                <c:pt idx="25">
                  <c:v>Javier George</c:v>
                </c:pt>
                <c:pt idx="26">
                  <c:v>Jeffrey Akins</c:v>
                </c:pt>
                <c:pt idx="27">
                  <c:v>Joe Schimke</c:v>
                </c:pt>
                <c:pt idx="28">
                  <c:v>John Mackey</c:v>
                </c:pt>
                <c:pt idx="29">
                  <c:v>Juan Scott</c:v>
                </c:pt>
                <c:pt idx="30">
                  <c:v>Juanita Wisozk</c:v>
                </c:pt>
                <c:pt idx="31">
                  <c:v>Julie Ross</c:v>
                </c:pt>
                <c:pt idx="32">
                  <c:v>Kari Lenz</c:v>
                </c:pt>
                <c:pt idx="33">
                  <c:v>Kathy Rogers</c:v>
                </c:pt>
                <c:pt idx="34">
                  <c:v>Kelly Boyd</c:v>
                </c:pt>
                <c:pt idx="35">
                  <c:v>Kevin Fleming</c:v>
                </c:pt>
                <c:pt idx="36">
                  <c:v>Kurt Issacs</c:v>
                </c:pt>
                <c:pt idx="37">
                  <c:v>Larry Alaimo</c:v>
                </c:pt>
                <c:pt idx="38">
                  <c:v>Lawson Moore</c:v>
                </c:pt>
                <c:pt idx="39">
                  <c:v>Lee Niemeyer</c:v>
                </c:pt>
                <c:pt idx="40">
                  <c:v>Lorena Posacco</c:v>
                </c:pt>
                <c:pt idx="41">
                  <c:v>Maria Sawyer</c:v>
                </c:pt>
                <c:pt idx="42">
                  <c:v>Mel Berkowitz</c:v>
                </c:pt>
                <c:pt idx="43">
                  <c:v>Mia Ang</c:v>
                </c:pt>
                <c:pt idx="44">
                  <c:v>Nina Coulter</c:v>
                </c:pt>
                <c:pt idx="45">
                  <c:v>Ray Hernandez</c:v>
                </c:pt>
                <c:pt idx="46">
                  <c:v>Raymond Heywin</c:v>
                </c:pt>
                <c:pt idx="47">
                  <c:v>Richard Breaux</c:v>
                </c:pt>
                <c:pt idx="48">
                  <c:v>Rita Varga</c:v>
                </c:pt>
                <c:pt idx="49">
                  <c:v>Roy McGlynn</c:v>
                </c:pt>
                <c:pt idx="50">
                  <c:v>Russell Wallace</c:v>
                </c:pt>
                <c:pt idx="51">
                  <c:v>Shameka West</c:v>
                </c:pt>
                <c:pt idx="52">
                  <c:v>Shanna Hettinger</c:v>
                </c:pt>
                <c:pt idx="53">
                  <c:v>Shaun Salvatore</c:v>
                </c:pt>
                <c:pt idx="54">
                  <c:v>Stephen Harris</c:v>
                </c:pt>
                <c:pt idx="55">
                  <c:v>Susana Huels</c:v>
                </c:pt>
                <c:pt idx="56">
                  <c:v>Teresa Vasbinder</c:v>
                </c:pt>
                <c:pt idx="57">
                  <c:v>Thomas Stewart</c:v>
                </c:pt>
                <c:pt idx="58">
                  <c:v>Tim Young</c:v>
                </c:pt>
                <c:pt idx="59">
                  <c:v>Velma Riley</c:v>
                </c:pt>
                <c:pt idx="60">
                  <c:v>Vin Hudson</c:v>
                </c:pt>
              </c:strCache>
            </c:strRef>
          </c:cat>
          <c:val>
            <c:numRef>
              <c:f>Sheet3!$C$4:$C$65</c:f>
              <c:numCache>
                <c:formatCode>General</c:formatCode>
                <c:ptCount val="61"/>
                <c:pt idx="0">
                  <c:v>2428</c:v>
                </c:pt>
                <c:pt idx="1">
                  <c:v>2254</c:v>
                </c:pt>
                <c:pt idx="2">
                  <c:v>5952</c:v>
                </c:pt>
                <c:pt idx="3">
                  <c:v>1235</c:v>
                </c:pt>
                <c:pt idx="4">
                  <c:v>3485</c:v>
                </c:pt>
                <c:pt idx="5">
                  <c:v>4866</c:v>
                </c:pt>
                <c:pt idx="6">
                  <c:v>416</c:v>
                </c:pt>
                <c:pt idx="7">
                  <c:v>5804</c:v>
                </c:pt>
                <c:pt idx="8">
                  <c:v>3447</c:v>
                </c:pt>
                <c:pt idx="9">
                  <c:v>5721</c:v>
                </c:pt>
                <c:pt idx="10">
                  <c:v>657</c:v>
                </c:pt>
                <c:pt idx="11">
                  <c:v>7079</c:v>
                </c:pt>
                <c:pt idx="12">
                  <c:v>4189</c:v>
                </c:pt>
                <c:pt idx="13">
                  <c:v>6231</c:v>
                </c:pt>
                <c:pt idx="14">
                  <c:v>1314</c:v>
                </c:pt>
                <c:pt idx="15">
                  <c:v>6227</c:v>
                </c:pt>
                <c:pt idx="16">
                  <c:v>2018</c:v>
                </c:pt>
                <c:pt idx="17">
                  <c:v>4182</c:v>
                </c:pt>
                <c:pt idx="18">
                  <c:v>5535</c:v>
                </c:pt>
                <c:pt idx="19">
                  <c:v>4963</c:v>
                </c:pt>
                <c:pt idx="20">
                  <c:v>5388</c:v>
                </c:pt>
                <c:pt idx="21">
                  <c:v>6551</c:v>
                </c:pt>
                <c:pt idx="22">
                  <c:v>9610</c:v>
                </c:pt>
                <c:pt idx="23">
                  <c:v>1620</c:v>
                </c:pt>
                <c:pt idx="24">
                  <c:v>8484</c:v>
                </c:pt>
                <c:pt idx="25">
                  <c:v>4218</c:v>
                </c:pt>
                <c:pt idx="26">
                  <c:v>2678</c:v>
                </c:pt>
                <c:pt idx="27">
                  <c:v>2628</c:v>
                </c:pt>
                <c:pt idx="28">
                  <c:v>3938</c:v>
                </c:pt>
                <c:pt idx="29">
                  <c:v>3751</c:v>
                </c:pt>
                <c:pt idx="30">
                  <c:v>4799</c:v>
                </c:pt>
                <c:pt idx="31">
                  <c:v>9179</c:v>
                </c:pt>
                <c:pt idx="32">
                  <c:v>2415</c:v>
                </c:pt>
                <c:pt idx="33">
                  <c:v>1322</c:v>
                </c:pt>
                <c:pt idx="34">
                  <c:v>4839</c:v>
                </c:pt>
                <c:pt idx="35">
                  <c:v>3919</c:v>
                </c:pt>
                <c:pt idx="36">
                  <c:v>6957</c:v>
                </c:pt>
                <c:pt idx="37">
                  <c:v>889</c:v>
                </c:pt>
                <c:pt idx="38">
                  <c:v>3804</c:v>
                </c:pt>
                <c:pt idx="39">
                  <c:v>3140</c:v>
                </c:pt>
                <c:pt idx="40">
                  <c:v>8499</c:v>
                </c:pt>
                <c:pt idx="41">
                  <c:v>4033</c:v>
                </c:pt>
                <c:pt idx="42">
                  <c:v>621</c:v>
                </c:pt>
                <c:pt idx="43">
                  <c:v>2124</c:v>
                </c:pt>
                <c:pt idx="44">
                  <c:v>7667</c:v>
                </c:pt>
                <c:pt idx="45">
                  <c:v>1768</c:v>
                </c:pt>
                <c:pt idx="46">
                  <c:v>286</c:v>
                </c:pt>
                <c:pt idx="47">
                  <c:v>1245</c:v>
                </c:pt>
                <c:pt idx="48">
                  <c:v>6110</c:v>
                </c:pt>
                <c:pt idx="49">
                  <c:v>6105</c:v>
                </c:pt>
                <c:pt idx="50">
                  <c:v>6541</c:v>
                </c:pt>
                <c:pt idx="51">
                  <c:v>2517</c:v>
                </c:pt>
                <c:pt idx="52">
                  <c:v>1893</c:v>
                </c:pt>
                <c:pt idx="53">
                  <c:v>3615</c:v>
                </c:pt>
                <c:pt idx="54">
                  <c:v>3794</c:v>
                </c:pt>
                <c:pt idx="55">
                  <c:v>1251</c:v>
                </c:pt>
                <c:pt idx="56">
                  <c:v>4079</c:v>
                </c:pt>
                <c:pt idx="57">
                  <c:v>3353</c:v>
                </c:pt>
                <c:pt idx="58">
                  <c:v>1797</c:v>
                </c:pt>
                <c:pt idx="59">
                  <c:v>8049</c:v>
                </c:pt>
                <c:pt idx="60">
                  <c:v>1534</c:v>
                </c:pt>
              </c:numCache>
            </c:numRef>
          </c:val>
          <c:extLst>
            <c:ext xmlns:c16="http://schemas.microsoft.com/office/drawing/2014/chart" uri="{C3380CC4-5D6E-409C-BE32-E72D297353CC}">
              <c16:uniqueId val="{000002A5-40DC-425C-9DB9-046E9A43840F}"/>
            </c:ext>
          </c:extLst>
        </c:ser>
        <c:ser>
          <c:idx val="2"/>
          <c:order val="2"/>
          <c:tx>
            <c:strRef>
              <c:f>Sheet3!$D$3</c:f>
              <c:strCache>
                <c:ptCount val="1"/>
                <c:pt idx="0">
                  <c:v>Sum of Column12</c:v>
                </c:pt>
              </c:strCache>
            </c:strRef>
          </c:tx>
          <c:spPr>
            <a:solidFill>
              <a:schemeClr val="accent3"/>
            </a:solidFill>
            <a:ln>
              <a:noFill/>
            </a:ln>
            <a:effectLst/>
          </c:spPr>
          <c:invertIfNegative val="0"/>
          <c:cat>
            <c:strRef>
              <c:f>Sheet3!$A$4:$A$65</c:f>
              <c:strCache>
                <c:ptCount val="61"/>
                <c:pt idx="0">
                  <c:v>Andre Mobley</c:v>
                </c:pt>
                <c:pt idx="1">
                  <c:v>Anna Grey</c:v>
                </c:pt>
                <c:pt idx="2">
                  <c:v>Annie Fuentes</c:v>
                </c:pt>
                <c:pt idx="3">
                  <c:v>Anthony Brooks</c:v>
                </c:pt>
                <c:pt idx="4">
                  <c:v>Bill Callahan</c:v>
                </c:pt>
                <c:pt idx="5">
                  <c:v>Brooke Hayes</c:v>
                </c:pt>
                <c:pt idx="6">
                  <c:v>Carlos Jackson</c:v>
                </c:pt>
                <c:pt idx="7">
                  <c:v>Carlos Moya</c:v>
                </c:pt>
                <c:pt idx="8">
                  <c:v>Charlotte Leroux</c:v>
                </c:pt>
                <c:pt idx="9">
                  <c:v>Christopher Evans</c:v>
                </c:pt>
                <c:pt idx="10">
                  <c:v>Craig Collins</c:v>
                </c:pt>
                <c:pt idx="11">
                  <c:v>Dan Hill</c:v>
                </c:pt>
                <c:pt idx="12">
                  <c:v>Danielle Tomas</c:v>
                </c:pt>
                <c:pt idx="13">
                  <c:v>Darnell Straughter</c:v>
                </c:pt>
                <c:pt idx="14">
                  <c:v>Debra Kroll</c:v>
                </c:pt>
                <c:pt idx="15">
                  <c:v>Debra Martin</c:v>
                </c:pt>
                <c:pt idx="16">
                  <c:v>Decision Maker</c:v>
                </c:pt>
                <c:pt idx="17">
                  <c:v>Deshaun Fletcher</c:v>
                </c:pt>
                <c:pt idx="18">
                  <c:v>Dominique Johnson</c:v>
                </c:pt>
                <c:pt idx="19">
                  <c:v>Donna Lam</c:v>
                </c:pt>
                <c:pt idx="20">
                  <c:v>Dorothy Rizzo</c:v>
                </c:pt>
                <c:pt idx="21">
                  <c:v>Gary Brown</c:v>
                </c:pt>
                <c:pt idx="22">
                  <c:v>Henry Lange</c:v>
                </c:pt>
                <c:pt idx="23">
                  <c:v>Holly Gaines</c:v>
                </c:pt>
                <c:pt idx="24">
                  <c:v>Janie Roberson</c:v>
                </c:pt>
                <c:pt idx="25">
                  <c:v>Javier George</c:v>
                </c:pt>
                <c:pt idx="26">
                  <c:v>Jeffrey Akins</c:v>
                </c:pt>
                <c:pt idx="27">
                  <c:v>Joe Schimke</c:v>
                </c:pt>
                <c:pt idx="28">
                  <c:v>John Mackey</c:v>
                </c:pt>
                <c:pt idx="29">
                  <c:v>Juan Scott</c:v>
                </c:pt>
                <c:pt idx="30">
                  <c:v>Juanita Wisozk</c:v>
                </c:pt>
                <c:pt idx="31">
                  <c:v>Julie Ross</c:v>
                </c:pt>
                <c:pt idx="32">
                  <c:v>Kari Lenz</c:v>
                </c:pt>
                <c:pt idx="33">
                  <c:v>Kathy Rogers</c:v>
                </c:pt>
                <c:pt idx="34">
                  <c:v>Kelly Boyd</c:v>
                </c:pt>
                <c:pt idx="35">
                  <c:v>Kevin Fleming</c:v>
                </c:pt>
                <c:pt idx="36">
                  <c:v>Kurt Issacs</c:v>
                </c:pt>
                <c:pt idx="37">
                  <c:v>Larry Alaimo</c:v>
                </c:pt>
                <c:pt idx="38">
                  <c:v>Lawson Moore</c:v>
                </c:pt>
                <c:pt idx="39">
                  <c:v>Lee Niemeyer</c:v>
                </c:pt>
                <c:pt idx="40">
                  <c:v>Lorena Posacco</c:v>
                </c:pt>
                <c:pt idx="41">
                  <c:v>Maria Sawyer</c:v>
                </c:pt>
                <c:pt idx="42">
                  <c:v>Mel Berkowitz</c:v>
                </c:pt>
                <c:pt idx="43">
                  <c:v>Mia Ang</c:v>
                </c:pt>
                <c:pt idx="44">
                  <c:v>Nina Coulter</c:v>
                </c:pt>
                <c:pt idx="45">
                  <c:v>Ray Hernandez</c:v>
                </c:pt>
                <c:pt idx="46">
                  <c:v>Raymond Heywin</c:v>
                </c:pt>
                <c:pt idx="47">
                  <c:v>Richard Breaux</c:v>
                </c:pt>
                <c:pt idx="48">
                  <c:v>Rita Varga</c:v>
                </c:pt>
                <c:pt idx="49">
                  <c:v>Roy McGlynn</c:v>
                </c:pt>
                <c:pt idx="50">
                  <c:v>Russell Wallace</c:v>
                </c:pt>
                <c:pt idx="51">
                  <c:v>Shameka West</c:v>
                </c:pt>
                <c:pt idx="52">
                  <c:v>Shanna Hettinger</c:v>
                </c:pt>
                <c:pt idx="53">
                  <c:v>Shaun Salvatore</c:v>
                </c:pt>
                <c:pt idx="54">
                  <c:v>Stephen Harris</c:v>
                </c:pt>
                <c:pt idx="55">
                  <c:v>Susana Huels</c:v>
                </c:pt>
                <c:pt idx="56">
                  <c:v>Teresa Vasbinder</c:v>
                </c:pt>
                <c:pt idx="57">
                  <c:v>Thomas Stewart</c:v>
                </c:pt>
                <c:pt idx="58">
                  <c:v>Tim Young</c:v>
                </c:pt>
                <c:pt idx="59">
                  <c:v>Velma Riley</c:v>
                </c:pt>
                <c:pt idx="60">
                  <c:v>Vin Hudson</c:v>
                </c:pt>
              </c:strCache>
            </c:strRef>
          </c:cat>
          <c:val>
            <c:numRef>
              <c:f>Sheet3!$D$4:$D$65</c:f>
              <c:numCache>
                <c:formatCode>General</c:formatCode>
                <c:ptCount val="61"/>
                <c:pt idx="0">
                  <c:v>7386</c:v>
                </c:pt>
                <c:pt idx="1">
                  <c:v>4534</c:v>
                </c:pt>
                <c:pt idx="2">
                  <c:v>5914</c:v>
                </c:pt>
                <c:pt idx="3">
                  <c:v>1822</c:v>
                </c:pt>
                <c:pt idx="4">
                  <c:v>4592</c:v>
                </c:pt>
                <c:pt idx="5">
                  <c:v>4928</c:v>
                </c:pt>
                <c:pt idx="6">
                  <c:v>747</c:v>
                </c:pt>
                <c:pt idx="7">
                  <c:v>4259</c:v>
                </c:pt>
                <c:pt idx="8">
                  <c:v>4535</c:v>
                </c:pt>
                <c:pt idx="9">
                  <c:v>6247</c:v>
                </c:pt>
                <c:pt idx="10">
                  <c:v>6238</c:v>
                </c:pt>
                <c:pt idx="11">
                  <c:v>7438</c:v>
                </c:pt>
                <c:pt idx="12">
                  <c:v>5407</c:v>
                </c:pt>
                <c:pt idx="13">
                  <c:v>7478</c:v>
                </c:pt>
                <c:pt idx="14">
                  <c:v>1810</c:v>
                </c:pt>
                <c:pt idx="15">
                  <c:v>5123</c:v>
                </c:pt>
                <c:pt idx="16">
                  <c:v>2019</c:v>
                </c:pt>
                <c:pt idx="17">
                  <c:v>6087</c:v>
                </c:pt>
                <c:pt idx="18">
                  <c:v>5775</c:v>
                </c:pt>
                <c:pt idx="19">
                  <c:v>6292</c:v>
                </c:pt>
                <c:pt idx="20">
                  <c:v>7063</c:v>
                </c:pt>
                <c:pt idx="21">
                  <c:v>5188</c:v>
                </c:pt>
                <c:pt idx="22">
                  <c:v>7534</c:v>
                </c:pt>
                <c:pt idx="23">
                  <c:v>2027</c:v>
                </c:pt>
                <c:pt idx="24">
                  <c:v>7883</c:v>
                </c:pt>
                <c:pt idx="25">
                  <c:v>5072</c:v>
                </c:pt>
                <c:pt idx="26">
                  <c:v>4068</c:v>
                </c:pt>
                <c:pt idx="27">
                  <c:v>3612</c:v>
                </c:pt>
                <c:pt idx="28">
                  <c:v>5190</c:v>
                </c:pt>
                <c:pt idx="29">
                  <c:v>4423</c:v>
                </c:pt>
                <c:pt idx="30">
                  <c:v>6582</c:v>
                </c:pt>
                <c:pt idx="31">
                  <c:v>8390</c:v>
                </c:pt>
                <c:pt idx="32">
                  <c:v>3461</c:v>
                </c:pt>
                <c:pt idx="33">
                  <c:v>7279</c:v>
                </c:pt>
                <c:pt idx="34">
                  <c:v>4776</c:v>
                </c:pt>
                <c:pt idx="35">
                  <c:v>4466</c:v>
                </c:pt>
                <c:pt idx="36">
                  <c:v>3898</c:v>
                </c:pt>
                <c:pt idx="37">
                  <c:v>4373</c:v>
                </c:pt>
                <c:pt idx="38">
                  <c:v>4121</c:v>
                </c:pt>
                <c:pt idx="39">
                  <c:v>4123</c:v>
                </c:pt>
                <c:pt idx="40">
                  <c:v>991</c:v>
                </c:pt>
                <c:pt idx="41">
                  <c:v>6956</c:v>
                </c:pt>
                <c:pt idx="42">
                  <c:v>3098</c:v>
                </c:pt>
                <c:pt idx="43">
                  <c:v>2844</c:v>
                </c:pt>
                <c:pt idx="44">
                  <c:v>5952</c:v>
                </c:pt>
                <c:pt idx="45">
                  <c:v>2804</c:v>
                </c:pt>
                <c:pt idx="46">
                  <c:v>6750</c:v>
                </c:pt>
                <c:pt idx="47">
                  <c:v>791</c:v>
                </c:pt>
                <c:pt idx="48">
                  <c:v>5791</c:v>
                </c:pt>
                <c:pt idx="49">
                  <c:v>7777</c:v>
                </c:pt>
                <c:pt idx="50">
                  <c:v>3311</c:v>
                </c:pt>
                <c:pt idx="51">
                  <c:v>8042</c:v>
                </c:pt>
                <c:pt idx="52">
                  <c:v>2722</c:v>
                </c:pt>
                <c:pt idx="53">
                  <c:v>3712</c:v>
                </c:pt>
                <c:pt idx="54">
                  <c:v>3984</c:v>
                </c:pt>
                <c:pt idx="55">
                  <c:v>2897</c:v>
                </c:pt>
                <c:pt idx="56">
                  <c:v>2797</c:v>
                </c:pt>
                <c:pt idx="57">
                  <c:v>6351</c:v>
                </c:pt>
                <c:pt idx="58">
                  <c:v>3548</c:v>
                </c:pt>
                <c:pt idx="59">
                  <c:v>5556</c:v>
                </c:pt>
                <c:pt idx="60">
                  <c:v>1634</c:v>
                </c:pt>
              </c:numCache>
            </c:numRef>
          </c:val>
          <c:extLst>
            <c:ext xmlns:c16="http://schemas.microsoft.com/office/drawing/2014/chart" uri="{C3380CC4-5D6E-409C-BE32-E72D297353CC}">
              <c16:uniqueId val="{000002A6-40DC-425C-9DB9-046E9A43840F}"/>
            </c:ext>
          </c:extLst>
        </c:ser>
        <c:ser>
          <c:idx val="3"/>
          <c:order val="3"/>
          <c:tx>
            <c:strRef>
              <c:f>Sheet3!$E$3</c:f>
              <c:strCache>
                <c:ptCount val="1"/>
                <c:pt idx="0">
                  <c:v>Sum of Column13</c:v>
                </c:pt>
              </c:strCache>
            </c:strRef>
          </c:tx>
          <c:spPr>
            <a:solidFill>
              <a:schemeClr val="accent4"/>
            </a:solidFill>
            <a:ln>
              <a:noFill/>
            </a:ln>
            <a:effectLst/>
          </c:spPr>
          <c:invertIfNegative val="0"/>
          <c:cat>
            <c:strRef>
              <c:f>Sheet3!$A$4:$A$65</c:f>
              <c:strCache>
                <c:ptCount val="61"/>
                <c:pt idx="0">
                  <c:v>Andre Mobley</c:v>
                </c:pt>
                <c:pt idx="1">
                  <c:v>Anna Grey</c:v>
                </c:pt>
                <c:pt idx="2">
                  <c:v>Annie Fuentes</c:v>
                </c:pt>
                <c:pt idx="3">
                  <c:v>Anthony Brooks</c:v>
                </c:pt>
                <c:pt idx="4">
                  <c:v>Bill Callahan</c:v>
                </c:pt>
                <c:pt idx="5">
                  <c:v>Brooke Hayes</c:v>
                </c:pt>
                <c:pt idx="6">
                  <c:v>Carlos Jackson</c:v>
                </c:pt>
                <c:pt idx="7">
                  <c:v>Carlos Moya</c:v>
                </c:pt>
                <c:pt idx="8">
                  <c:v>Charlotte Leroux</c:v>
                </c:pt>
                <c:pt idx="9">
                  <c:v>Christopher Evans</c:v>
                </c:pt>
                <c:pt idx="10">
                  <c:v>Craig Collins</c:v>
                </c:pt>
                <c:pt idx="11">
                  <c:v>Dan Hill</c:v>
                </c:pt>
                <c:pt idx="12">
                  <c:v>Danielle Tomas</c:v>
                </c:pt>
                <c:pt idx="13">
                  <c:v>Darnell Straughter</c:v>
                </c:pt>
                <c:pt idx="14">
                  <c:v>Debra Kroll</c:v>
                </c:pt>
                <c:pt idx="15">
                  <c:v>Debra Martin</c:v>
                </c:pt>
                <c:pt idx="16">
                  <c:v>Decision Maker</c:v>
                </c:pt>
                <c:pt idx="17">
                  <c:v>Deshaun Fletcher</c:v>
                </c:pt>
                <c:pt idx="18">
                  <c:v>Dominique Johnson</c:v>
                </c:pt>
                <c:pt idx="19">
                  <c:v>Donna Lam</c:v>
                </c:pt>
                <c:pt idx="20">
                  <c:v>Dorothy Rizzo</c:v>
                </c:pt>
                <c:pt idx="21">
                  <c:v>Gary Brown</c:v>
                </c:pt>
                <c:pt idx="22">
                  <c:v>Henry Lange</c:v>
                </c:pt>
                <c:pt idx="23">
                  <c:v>Holly Gaines</c:v>
                </c:pt>
                <c:pt idx="24">
                  <c:v>Janie Roberson</c:v>
                </c:pt>
                <c:pt idx="25">
                  <c:v>Javier George</c:v>
                </c:pt>
                <c:pt idx="26">
                  <c:v>Jeffrey Akins</c:v>
                </c:pt>
                <c:pt idx="27">
                  <c:v>Joe Schimke</c:v>
                </c:pt>
                <c:pt idx="28">
                  <c:v>John Mackey</c:v>
                </c:pt>
                <c:pt idx="29">
                  <c:v>Juan Scott</c:v>
                </c:pt>
                <c:pt idx="30">
                  <c:v>Juanita Wisozk</c:v>
                </c:pt>
                <c:pt idx="31">
                  <c:v>Julie Ross</c:v>
                </c:pt>
                <c:pt idx="32">
                  <c:v>Kari Lenz</c:v>
                </c:pt>
                <c:pt idx="33">
                  <c:v>Kathy Rogers</c:v>
                </c:pt>
                <c:pt idx="34">
                  <c:v>Kelly Boyd</c:v>
                </c:pt>
                <c:pt idx="35">
                  <c:v>Kevin Fleming</c:v>
                </c:pt>
                <c:pt idx="36">
                  <c:v>Kurt Issacs</c:v>
                </c:pt>
                <c:pt idx="37">
                  <c:v>Larry Alaimo</c:v>
                </c:pt>
                <c:pt idx="38">
                  <c:v>Lawson Moore</c:v>
                </c:pt>
                <c:pt idx="39">
                  <c:v>Lee Niemeyer</c:v>
                </c:pt>
                <c:pt idx="40">
                  <c:v>Lorena Posacco</c:v>
                </c:pt>
                <c:pt idx="41">
                  <c:v>Maria Sawyer</c:v>
                </c:pt>
                <c:pt idx="42">
                  <c:v>Mel Berkowitz</c:v>
                </c:pt>
                <c:pt idx="43">
                  <c:v>Mia Ang</c:v>
                </c:pt>
                <c:pt idx="44">
                  <c:v>Nina Coulter</c:v>
                </c:pt>
                <c:pt idx="45">
                  <c:v>Ray Hernandez</c:v>
                </c:pt>
                <c:pt idx="46">
                  <c:v>Raymond Heywin</c:v>
                </c:pt>
                <c:pt idx="47">
                  <c:v>Richard Breaux</c:v>
                </c:pt>
                <c:pt idx="48">
                  <c:v>Rita Varga</c:v>
                </c:pt>
                <c:pt idx="49">
                  <c:v>Roy McGlynn</c:v>
                </c:pt>
                <c:pt idx="50">
                  <c:v>Russell Wallace</c:v>
                </c:pt>
                <c:pt idx="51">
                  <c:v>Shameka West</c:v>
                </c:pt>
                <c:pt idx="52">
                  <c:v>Shanna Hettinger</c:v>
                </c:pt>
                <c:pt idx="53">
                  <c:v>Shaun Salvatore</c:v>
                </c:pt>
                <c:pt idx="54">
                  <c:v>Stephen Harris</c:v>
                </c:pt>
                <c:pt idx="55">
                  <c:v>Susana Huels</c:v>
                </c:pt>
                <c:pt idx="56">
                  <c:v>Teresa Vasbinder</c:v>
                </c:pt>
                <c:pt idx="57">
                  <c:v>Thomas Stewart</c:v>
                </c:pt>
                <c:pt idx="58">
                  <c:v>Tim Young</c:v>
                </c:pt>
                <c:pt idx="59">
                  <c:v>Velma Riley</c:v>
                </c:pt>
                <c:pt idx="60">
                  <c:v>Vin Hudson</c:v>
                </c:pt>
              </c:strCache>
            </c:strRef>
          </c:cat>
          <c:val>
            <c:numRef>
              <c:f>Sheet3!$E$4:$E$65</c:f>
              <c:numCache>
                <c:formatCode>General</c:formatCode>
                <c:ptCount val="61"/>
                <c:pt idx="0">
                  <c:v>8835</c:v>
                </c:pt>
                <c:pt idx="1">
                  <c:v>6796</c:v>
                </c:pt>
                <c:pt idx="2">
                  <c:v>5405</c:v>
                </c:pt>
                <c:pt idx="3">
                  <c:v>7074</c:v>
                </c:pt>
                <c:pt idx="4">
                  <c:v>5143</c:v>
                </c:pt>
                <c:pt idx="5">
                  <c:v>8451</c:v>
                </c:pt>
                <c:pt idx="6">
                  <c:v>1028</c:v>
                </c:pt>
                <c:pt idx="7">
                  <c:v>4243</c:v>
                </c:pt>
                <c:pt idx="8">
                  <c:v>5476</c:v>
                </c:pt>
                <c:pt idx="9">
                  <c:v>8495</c:v>
                </c:pt>
                <c:pt idx="10">
                  <c:v>8922</c:v>
                </c:pt>
                <c:pt idx="11">
                  <c:v>7443</c:v>
                </c:pt>
                <c:pt idx="12">
                  <c:v>6233</c:v>
                </c:pt>
                <c:pt idx="13">
                  <c:v>8039</c:v>
                </c:pt>
                <c:pt idx="14">
                  <c:v>6510</c:v>
                </c:pt>
                <c:pt idx="15">
                  <c:v>4968</c:v>
                </c:pt>
                <c:pt idx="16">
                  <c:v>2020</c:v>
                </c:pt>
                <c:pt idx="17">
                  <c:v>7494</c:v>
                </c:pt>
                <c:pt idx="18">
                  <c:v>7661</c:v>
                </c:pt>
                <c:pt idx="19">
                  <c:v>6728</c:v>
                </c:pt>
                <c:pt idx="20">
                  <c:v>7208</c:v>
                </c:pt>
                <c:pt idx="21">
                  <c:v>3436</c:v>
                </c:pt>
                <c:pt idx="22">
                  <c:v>5080</c:v>
                </c:pt>
                <c:pt idx="23">
                  <c:v>4881</c:v>
                </c:pt>
                <c:pt idx="24">
                  <c:v>7499</c:v>
                </c:pt>
                <c:pt idx="25">
                  <c:v>5201</c:v>
                </c:pt>
                <c:pt idx="26">
                  <c:v>4278</c:v>
                </c:pt>
                <c:pt idx="27">
                  <c:v>5066</c:v>
                </c:pt>
                <c:pt idx="28">
                  <c:v>8203</c:v>
                </c:pt>
                <c:pt idx="29">
                  <c:v>8733</c:v>
                </c:pt>
                <c:pt idx="30">
                  <c:v>9024</c:v>
                </c:pt>
                <c:pt idx="31">
                  <c:v>8256</c:v>
                </c:pt>
                <c:pt idx="32">
                  <c:v>3850</c:v>
                </c:pt>
                <c:pt idx="33">
                  <c:v>8443</c:v>
                </c:pt>
                <c:pt idx="34">
                  <c:v>4024</c:v>
                </c:pt>
                <c:pt idx="35">
                  <c:v>5568</c:v>
                </c:pt>
                <c:pt idx="36">
                  <c:v>1857</c:v>
                </c:pt>
                <c:pt idx="37">
                  <c:v>6803</c:v>
                </c:pt>
                <c:pt idx="38">
                  <c:v>6210</c:v>
                </c:pt>
                <c:pt idx="39">
                  <c:v>4366</c:v>
                </c:pt>
                <c:pt idx="40">
                  <c:v>448</c:v>
                </c:pt>
                <c:pt idx="41">
                  <c:v>7929</c:v>
                </c:pt>
                <c:pt idx="42">
                  <c:v>7118</c:v>
                </c:pt>
                <c:pt idx="43">
                  <c:v>6877</c:v>
                </c:pt>
                <c:pt idx="44">
                  <c:v>1998</c:v>
                </c:pt>
                <c:pt idx="45">
                  <c:v>5718</c:v>
                </c:pt>
                <c:pt idx="46">
                  <c:v>8254</c:v>
                </c:pt>
                <c:pt idx="47">
                  <c:v>338</c:v>
                </c:pt>
                <c:pt idx="48">
                  <c:v>1759</c:v>
                </c:pt>
                <c:pt idx="49">
                  <c:v>7891</c:v>
                </c:pt>
                <c:pt idx="50">
                  <c:v>3254</c:v>
                </c:pt>
                <c:pt idx="51">
                  <c:v>8222</c:v>
                </c:pt>
                <c:pt idx="52">
                  <c:v>4410</c:v>
                </c:pt>
                <c:pt idx="53">
                  <c:v>5819</c:v>
                </c:pt>
                <c:pt idx="54">
                  <c:v>8803</c:v>
                </c:pt>
                <c:pt idx="55">
                  <c:v>4499</c:v>
                </c:pt>
                <c:pt idx="56">
                  <c:v>2245</c:v>
                </c:pt>
                <c:pt idx="57">
                  <c:v>8550</c:v>
                </c:pt>
                <c:pt idx="58">
                  <c:v>3668</c:v>
                </c:pt>
                <c:pt idx="59">
                  <c:v>5202</c:v>
                </c:pt>
                <c:pt idx="60">
                  <c:v>4302</c:v>
                </c:pt>
              </c:numCache>
            </c:numRef>
          </c:val>
          <c:extLst>
            <c:ext xmlns:c16="http://schemas.microsoft.com/office/drawing/2014/chart" uri="{C3380CC4-5D6E-409C-BE32-E72D297353CC}">
              <c16:uniqueId val="{000002A7-40DC-425C-9DB9-046E9A43840F}"/>
            </c:ext>
          </c:extLst>
        </c:ser>
        <c:ser>
          <c:idx val="4"/>
          <c:order val="4"/>
          <c:tx>
            <c:strRef>
              <c:f>Sheet3!$F$3</c:f>
              <c:strCache>
                <c:ptCount val="1"/>
                <c:pt idx="0">
                  <c:v>Sum of Column14</c:v>
                </c:pt>
              </c:strCache>
            </c:strRef>
          </c:tx>
          <c:spPr>
            <a:solidFill>
              <a:schemeClr val="accent5"/>
            </a:solidFill>
            <a:ln>
              <a:noFill/>
            </a:ln>
            <a:effectLst/>
          </c:spPr>
          <c:invertIfNegative val="0"/>
          <c:cat>
            <c:strRef>
              <c:f>Sheet3!$A$4:$A$65</c:f>
              <c:strCache>
                <c:ptCount val="61"/>
                <c:pt idx="0">
                  <c:v>Andre Mobley</c:v>
                </c:pt>
                <c:pt idx="1">
                  <c:v>Anna Grey</c:v>
                </c:pt>
                <c:pt idx="2">
                  <c:v>Annie Fuentes</c:v>
                </c:pt>
                <c:pt idx="3">
                  <c:v>Anthony Brooks</c:v>
                </c:pt>
                <c:pt idx="4">
                  <c:v>Bill Callahan</c:v>
                </c:pt>
                <c:pt idx="5">
                  <c:v>Brooke Hayes</c:v>
                </c:pt>
                <c:pt idx="6">
                  <c:v>Carlos Jackson</c:v>
                </c:pt>
                <c:pt idx="7">
                  <c:v>Carlos Moya</c:v>
                </c:pt>
                <c:pt idx="8">
                  <c:v>Charlotte Leroux</c:v>
                </c:pt>
                <c:pt idx="9">
                  <c:v>Christopher Evans</c:v>
                </c:pt>
                <c:pt idx="10">
                  <c:v>Craig Collins</c:v>
                </c:pt>
                <c:pt idx="11">
                  <c:v>Dan Hill</c:v>
                </c:pt>
                <c:pt idx="12">
                  <c:v>Danielle Tomas</c:v>
                </c:pt>
                <c:pt idx="13">
                  <c:v>Darnell Straughter</c:v>
                </c:pt>
                <c:pt idx="14">
                  <c:v>Debra Kroll</c:v>
                </c:pt>
                <c:pt idx="15">
                  <c:v>Debra Martin</c:v>
                </c:pt>
                <c:pt idx="16">
                  <c:v>Decision Maker</c:v>
                </c:pt>
                <c:pt idx="17">
                  <c:v>Deshaun Fletcher</c:v>
                </c:pt>
                <c:pt idx="18">
                  <c:v>Dominique Johnson</c:v>
                </c:pt>
                <c:pt idx="19">
                  <c:v>Donna Lam</c:v>
                </c:pt>
                <c:pt idx="20">
                  <c:v>Dorothy Rizzo</c:v>
                </c:pt>
                <c:pt idx="21">
                  <c:v>Gary Brown</c:v>
                </c:pt>
                <c:pt idx="22">
                  <c:v>Henry Lange</c:v>
                </c:pt>
                <c:pt idx="23">
                  <c:v>Holly Gaines</c:v>
                </c:pt>
                <c:pt idx="24">
                  <c:v>Janie Roberson</c:v>
                </c:pt>
                <c:pt idx="25">
                  <c:v>Javier George</c:v>
                </c:pt>
                <c:pt idx="26">
                  <c:v>Jeffrey Akins</c:v>
                </c:pt>
                <c:pt idx="27">
                  <c:v>Joe Schimke</c:v>
                </c:pt>
                <c:pt idx="28">
                  <c:v>John Mackey</c:v>
                </c:pt>
                <c:pt idx="29">
                  <c:v>Juan Scott</c:v>
                </c:pt>
                <c:pt idx="30">
                  <c:v>Juanita Wisozk</c:v>
                </c:pt>
                <c:pt idx="31">
                  <c:v>Julie Ross</c:v>
                </c:pt>
                <c:pt idx="32">
                  <c:v>Kari Lenz</c:v>
                </c:pt>
                <c:pt idx="33">
                  <c:v>Kathy Rogers</c:v>
                </c:pt>
                <c:pt idx="34">
                  <c:v>Kelly Boyd</c:v>
                </c:pt>
                <c:pt idx="35">
                  <c:v>Kevin Fleming</c:v>
                </c:pt>
                <c:pt idx="36">
                  <c:v>Kurt Issacs</c:v>
                </c:pt>
                <c:pt idx="37">
                  <c:v>Larry Alaimo</c:v>
                </c:pt>
                <c:pt idx="38">
                  <c:v>Lawson Moore</c:v>
                </c:pt>
                <c:pt idx="39">
                  <c:v>Lee Niemeyer</c:v>
                </c:pt>
                <c:pt idx="40">
                  <c:v>Lorena Posacco</c:v>
                </c:pt>
                <c:pt idx="41">
                  <c:v>Maria Sawyer</c:v>
                </c:pt>
                <c:pt idx="42">
                  <c:v>Mel Berkowitz</c:v>
                </c:pt>
                <c:pt idx="43">
                  <c:v>Mia Ang</c:v>
                </c:pt>
                <c:pt idx="44">
                  <c:v>Nina Coulter</c:v>
                </c:pt>
                <c:pt idx="45">
                  <c:v>Ray Hernandez</c:v>
                </c:pt>
                <c:pt idx="46">
                  <c:v>Raymond Heywin</c:v>
                </c:pt>
                <c:pt idx="47">
                  <c:v>Richard Breaux</c:v>
                </c:pt>
                <c:pt idx="48">
                  <c:v>Rita Varga</c:v>
                </c:pt>
                <c:pt idx="49">
                  <c:v>Roy McGlynn</c:v>
                </c:pt>
                <c:pt idx="50">
                  <c:v>Russell Wallace</c:v>
                </c:pt>
                <c:pt idx="51">
                  <c:v>Shameka West</c:v>
                </c:pt>
                <c:pt idx="52">
                  <c:v>Shanna Hettinger</c:v>
                </c:pt>
                <c:pt idx="53">
                  <c:v>Shaun Salvatore</c:v>
                </c:pt>
                <c:pt idx="54">
                  <c:v>Stephen Harris</c:v>
                </c:pt>
                <c:pt idx="55">
                  <c:v>Susana Huels</c:v>
                </c:pt>
                <c:pt idx="56">
                  <c:v>Teresa Vasbinder</c:v>
                </c:pt>
                <c:pt idx="57">
                  <c:v>Thomas Stewart</c:v>
                </c:pt>
                <c:pt idx="58">
                  <c:v>Tim Young</c:v>
                </c:pt>
                <c:pt idx="59">
                  <c:v>Velma Riley</c:v>
                </c:pt>
                <c:pt idx="60">
                  <c:v>Vin Hudson</c:v>
                </c:pt>
              </c:strCache>
            </c:strRef>
          </c:cat>
          <c:val>
            <c:numRef>
              <c:f>Sheet3!$F$4:$F$65</c:f>
              <c:numCache>
                <c:formatCode>General</c:formatCode>
                <c:ptCount val="61"/>
                <c:pt idx="0">
                  <c:v>9766</c:v>
                </c:pt>
                <c:pt idx="1">
                  <c:v>7730</c:v>
                </c:pt>
                <c:pt idx="2">
                  <c:v>4031</c:v>
                </c:pt>
                <c:pt idx="3">
                  <c:v>8207</c:v>
                </c:pt>
                <c:pt idx="4">
                  <c:v>8100</c:v>
                </c:pt>
                <c:pt idx="5">
                  <c:v>9585</c:v>
                </c:pt>
                <c:pt idx="6">
                  <c:v>6357</c:v>
                </c:pt>
                <c:pt idx="7">
                  <c:v>907</c:v>
                </c:pt>
                <c:pt idx="8">
                  <c:v>9983</c:v>
                </c:pt>
                <c:pt idx="9">
                  <c:v>9236</c:v>
                </c:pt>
                <c:pt idx="10">
                  <c:v>9081</c:v>
                </c:pt>
                <c:pt idx="11">
                  <c:v>9225</c:v>
                </c:pt>
                <c:pt idx="12">
                  <c:v>9681</c:v>
                </c:pt>
                <c:pt idx="13">
                  <c:v>8271</c:v>
                </c:pt>
                <c:pt idx="14">
                  <c:v>9271</c:v>
                </c:pt>
                <c:pt idx="15">
                  <c:v>3857</c:v>
                </c:pt>
                <c:pt idx="16">
                  <c:v>2021</c:v>
                </c:pt>
                <c:pt idx="17">
                  <c:v>8599</c:v>
                </c:pt>
                <c:pt idx="18">
                  <c:v>9206</c:v>
                </c:pt>
                <c:pt idx="19">
                  <c:v>8202</c:v>
                </c:pt>
                <c:pt idx="20">
                  <c:v>9093</c:v>
                </c:pt>
                <c:pt idx="21">
                  <c:v>2359</c:v>
                </c:pt>
                <c:pt idx="22">
                  <c:v>4936</c:v>
                </c:pt>
                <c:pt idx="23">
                  <c:v>6002</c:v>
                </c:pt>
                <c:pt idx="24">
                  <c:v>6592</c:v>
                </c:pt>
                <c:pt idx="25">
                  <c:v>7588</c:v>
                </c:pt>
                <c:pt idx="26">
                  <c:v>5382</c:v>
                </c:pt>
                <c:pt idx="27">
                  <c:v>5156</c:v>
                </c:pt>
                <c:pt idx="28">
                  <c:v>8780</c:v>
                </c:pt>
                <c:pt idx="29">
                  <c:v>9909</c:v>
                </c:pt>
                <c:pt idx="30">
                  <c:v>9759</c:v>
                </c:pt>
                <c:pt idx="31">
                  <c:v>3815</c:v>
                </c:pt>
                <c:pt idx="32">
                  <c:v>4657</c:v>
                </c:pt>
                <c:pt idx="33">
                  <c:v>9571</c:v>
                </c:pt>
                <c:pt idx="34">
                  <c:v>369</c:v>
                </c:pt>
                <c:pt idx="35">
                  <c:v>6476</c:v>
                </c:pt>
                <c:pt idx="36">
                  <c:v>1512</c:v>
                </c:pt>
                <c:pt idx="37">
                  <c:v>7578</c:v>
                </c:pt>
                <c:pt idx="38">
                  <c:v>6909</c:v>
                </c:pt>
                <c:pt idx="39">
                  <c:v>9482</c:v>
                </c:pt>
                <c:pt idx="40">
                  <c:v>211</c:v>
                </c:pt>
                <c:pt idx="41">
                  <c:v>8834</c:v>
                </c:pt>
                <c:pt idx="42">
                  <c:v>8433</c:v>
                </c:pt>
                <c:pt idx="43">
                  <c:v>9570</c:v>
                </c:pt>
                <c:pt idx="44">
                  <c:v>375</c:v>
                </c:pt>
                <c:pt idx="45">
                  <c:v>9822</c:v>
                </c:pt>
                <c:pt idx="46">
                  <c:v>8656</c:v>
                </c:pt>
                <c:pt idx="47">
                  <c:v>44</c:v>
                </c:pt>
                <c:pt idx="48">
                  <c:v>969</c:v>
                </c:pt>
                <c:pt idx="49">
                  <c:v>8758</c:v>
                </c:pt>
                <c:pt idx="50">
                  <c:v>2687</c:v>
                </c:pt>
                <c:pt idx="51">
                  <c:v>9686</c:v>
                </c:pt>
                <c:pt idx="52">
                  <c:v>5873</c:v>
                </c:pt>
                <c:pt idx="53">
                  <c:v>9589</c:v>
                </c:pt>
                <c:pt idx="54">
                  <c:v>9338</c:v>
                </c:pt>
                <c:pt idx="55">
                  <c:v>9428</c:v>
                </c:pt>
                <c:pt idx="56">
                  <c:v>1696</c:v>
                </c:pt>
                <c:pt idx="57">
                  <c:v>9272</c:v>
                </c:pt>
                <c:pt idx="58">
                  <c:v>8592</c:v>
                </c:pt>
                <c:pt idx="59">
                  <c:v>2373</c:v>
                </c:pt>
                <c:pt idx="60">
                  <c:v>9768</c:v>
                </c:pt>
              </c:numCache>
            </c:numRef>
          </c:val>
          <c:extLst>
            <c:ext xmlns:c16="http://schemas.microsoft.com/office/drawing/2014/chart" uri="{C3380CC4-5D6E-409C-BE32-E72D297353CC}">
              <c16:uniqueId val="{000002A8-40DC-425C-9DB9-046E9A43840F}"/>
            </c:ext>
          </c:extLst>
        </c:ser>
        <c:dLbls>
          <c:showLegendKey val="0"/>
          <c:showVal val="0"/>
          <c:showCatName val="0"/>
          <c:showSerName val="0"/>
          <c:showPercent val="0"/>
          <c:showBubbleSize val="0"/>
        </c:dLbls>
        <c:gapWidth val="219"/>
        <c:axId val="303835688"/>
        <c:axId val="303837328"/>
      </c:barChart>
      <c:catAx>
        <c:axId val="303835688"/>
        <c:scaling>
          <c:orientation val="minMax"/>
        </c:scaling>
        <c:delete val="1"/>
        <c:axPos val="l"/>
        <c:numFmt formatCode="General" sourceLinked="1"/>
        <c:majorTickMark val="none"/>
        <c:minorTickMark val="none"/>
        <c:tickLblPos val="nextTo"/>
        <c:crossAx val="303837328"/>
        <c:crosses val="autoZero"/>
        <c:auto val="1"/>
        <c:lblAlgn val="ctr"/>
        <c:lblOffset val="100"/>
        <c:noMultiLvlLbl val="0"/>
      </c:catAx>
      <c:valAx>
        <c:axId val="303837328"/>
        <c:scaling>
          <c:orientation val="minMax"/>
        </c:scaling>
        <c:delete val="1"/>
        <c:axPos val="b"/>
        <c:numFmt formatCode="General" sourceLinked="1"/>
        <c:majorTickMark val="none"/>
        <c:minorTickMark val="none"/>
        <c:tickLblPos val="nextTo"/>
        <c:crossAx val="303835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 Sales Data for Analysis for Task 4.xlsx]Sheet5!PivotTable3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Sheet5!$D$9</c:f>
              <c:strCache>
                <c:ptCount val="1"/>
                <c:pt idx="0">
                  <c:v>Count of Product Lines</c:v>
                </c:pt>
              </c:strCache>
            </c:strRef>
          </c:tx>
          <c:dPt>
            <c:idx val="0"/>
            <c:bubble3D val="0"/>
            <c:spPr>
              <a:solidFill>
                <a:schemeClr val="accent1"/>
              </a:solidFill>
              <a:ln>
                <a:noFill/>
              </a:ln>
              <a:effectLst/>
              <a:sp3d/>
            </c:spPr>
            <c:extLst>
              <c:ext xmlns:c16="http://schemas.microsoft.com/office/drawing/2014/chart" uri="{C3380CC4-5D6E-409C-BE32-E72D297353CC}">
                <c16:uniqueId val="{00000001-D704-4628-AB53-F37F708DEA03}"/>
              </c:ext>
            </c:extLst>
          </c:dPt>
          <c:dPt>
            <c:idx val="1"/>
            <c:bubble3D val="0"/>
            <c:spPr>
              <a:solidFill>
                <a:schemeClr val="accent2"/>
              </a:solidFill>
              <a:ln>
                <a:noFill/>
              </a:ln>
              <a:effectLst/>
              <a:sp3d/>
            </c:spPr>
            <c:extLst>
              <c:ext xmlns:c16="http://schemas.microsoft.com/office/drawing/2014/chart" uri="{C3380CC4-5D6E-409C-BE32-E72D297353CC}">
                <c16:uniqueId val="{00000003-D704-4628-AB53-F37F708DEA03}"/>
              </c:ext>
            </c:extLst>
          </c:dPt>
          <c:dPt>
            <c:idx val="2"/>
            <c:bubble3D val="0"/>
            <c:spPr>
              <a:solidFill>
                <a:schemeClr val="accent3"/>
              </a:solidFill>
              <a:ln>
                <a:noFill/>
              </a:ln>
              <a:effectLst/>
              <a:sp3d/>
            </c:spPr>
            <c:extLst>
              <c:ext xmlns:c16="http://schemas.microsoft.com/office/drawing/2014/chart" uri="{C3380CC4-5D6E-409C-BE32-E72D297353CC}">
                <c16:uniqueId val="{00000005-D704-4628-AB53-F37F708DEA03}"/>
              </c:ext>
            </c:extLst>
          </c:dPt>
          <c:dPt>
            <c:idx val="3"/>
            <c:bubble3D val="0"/>
            <c:spPr>
              <a:solidFill>
                <a:schemeClr val="accent4"/>
              </a:solidFill>
              <a:ln>
                <a:noFill/>
              </a:ln>
              <a:effectLst/>
              <a:sp3d/>
            </c:spPr>
            <c:extLst>
              <c:ext xmlns:c16="http://schemas.microsoft.com/office/drawing/2014/chart" uri="{C3380CC4-5D6E-409C-BE32-E72D297353CC}">
                <c16:uniqueId val="{00000007-D704-4628-AB53-F37F708DEA03}"/>
              </c:ext>
            </c:extLst>
          </c:dPt>
          <c:dPt>
            <c:idx val="4"/>
            <c:bubble3D val="0"/>
            <c:spPr>
              <a:solidFill>
                <a:schemeClr val="accent5"/>
              </a:solidFill>
              <a:ln>
                <a:noFill/>
              </a:ln>
              <a:effectLst/>
              <a:sp3d/>
            </c:spPr>
            <c:extLst>
              <c:ext xmlns:c16="http://schemas.microsoft.com/office/drawing/2014/chart" uri="{C3380CC4-5D6E-409C-BE32-E72D297353CC}">
                <c16:uniqueId val="{00000009-D704-4628-AB53-F37F708DEA03}"/>
              </c:ext>
            </c:extLst>
          </c:dPt>
          <c:dPt>
            <c:idx val="5"/>
            <c:bubble3D val="0"/>
            <c:spPr>
              <a:solidFill>
                <a:schemeClr val="accent6"/>
              </a:solidFill>
              <a:ln>
                <a:noFill/>
              </a:ln>
              <a:effectLst/>
              <a:sp3d/>
            </c:spPr>
            <c:extLst>
              <c:ext xmlns:c16="http://schemas.microsoft.com/office/drawing/2014/chart" uri="{C3380CC4-5D6E-409C-BE32-E72D297353CC}">
                <c16:uniqueId val="{0000000B-D704-4628-AB53-F37F708DEA03}"/>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D704-4628-AB53-F37F708DEA03}"/>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D704-4628-AB53-F37F708DEA03}"/>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D704-4628-AB53-F37F708DEA03}"/>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D704-4628-AB53-F37F708DEA03}"/>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D704-4628-AB53-F37F708DEA03}"/>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D704-4628-AB53-F37F708DEA03}"/>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D704-4628-AB53-F37F708DEA03}"/>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D704-4628-AB53-F37F708DEA03}"/>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D704-4628-AB53-F37F708DEA03}"/>
              </c:ext>
            </c:extLst>
          </c:dPt>
          <c:cat>
            <c:strRef>
              <c:f>Sheet5!$C$10:$C$25</c:f>
              <c:strCache>
                <c:ptCount val="15"/>
                <c:pt idx="0">
                  <c:v>Debra Kroll</c:v>
                </c:pt>
                <c:pt idx="1">
                  <c:v>Dorothy Rizzo</c:v>
                </c:pt>
                <c:pt idx="2">
                  <c:v>Gary Brown</c:v>
                </c:pt>
                <c:pt idx="3">
                  <c:v>Holly Gaines</c:v>
                </c:pt>
                <c:pt idx="4">
                  <c:v>Jeffrey Akins</c:v>
                </c:pt>
                <c:pt idx="5">
                  <c:v>Juanita Wisozk</c:v>
                </c:pt>
                <c:pt idx="6">
                  <c:v>Kelly Boyd</c:v>
                </c:pt>
                <c:pt idx="7">
                  <c:v>Lawson Moore</c:v>
                </c:pt>
                <c:pt idx="8">
                  <c:v>Lorena Posacco</c:v>
                </c:pt>
                <c:pt idx="9">
                  <c:v>Roy McGlynn</c:v>
                </c:pt>
                <c:pt idx="10">
                  <c:v>Shanna Hettinger</c:v>
                </c:pt>
                <c:pt idx="11">
                  <c:v>Susana Huels</c:v>
                </c:pt>
                <c:pt idx="12">
                  <c:v>Tim Young</c:v>
                </c:pt>
                <c:pt idx="13">
                  <c:v>Velma Riley</c:v>
                </c:pt>
                <c:pt idx="14">
                  <c:v>Vin Hudson</c:v>
                </c:pt>
              </c:strCache>
            </c:strRef>
          </c:cat>
          <c:val>
            <c:numRef>
              <c:f>Sheet5!$D$10:$D$25</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extLst>
            <c:ext xmlns:c16="http://schemas.microsoft.com/office/drawing/2014/chart" uri="{C3380CC4-5D6E-409C-BE32-E72D297353CC}">
              <c16:uniqueId val="{00000001-50C3-46CD-BF0C-B56D510F939D}"/>
            </c:ext>
          </c:extLst>
        </c:ser>
        <c:ser>
          <c:idx val="1"/>
          <c:order val="1"/>
          <c:tx>
            <c:strRef>
              <c:f>Sheet5!$E$9</c:f>
              <c:strCache>
                <c:ptCount val="1"/>
                <c:pt idx="0">
                  <c:v>Count of Column6</c:v>
                </c:pt>
              </c:strCache>
            </c:strRef>
          </c:tx>
          <c:dPt>
            <c:idx val="0"/>
            <c:bubble3D val="0"/>
            <c:spPr>
              <a:solidFill>
                <a:schemeClr val="accent1"/>
              </a:solidFill>
              <a:ln>
                <a:noFill/>
              </a:ln>
              <a:effectLst/>
              <a:sp3d/>
            </c:spPr>
            <c:extLst>
              <c:ext xmlns:c16="http://schemas.microsoft.com/office/drawing/2014/chart" uri="{C3380CC4-5D6E-409C-BE32-E72D297353CC}">
                <c16:uniqueId val="{0000001F-D704-4628-AB53-F37F708DEA03}"/>
              </c:ext>
            </c:extLst>
          </c:dPt>
          <c:dPt>
            <c:idx val="1"/>
            <c:bubble3D val="0"/>
            <c:spPr>
              <a:solidFill>
                <a:schemeClr val="accent2"/>
              </a:solidFill>
              <a:ln>
                <a:noFill/>
              </a:ln>
              <a:effectLst/>
              <a:sp3d/>
            </c:spPr>
            <c:extLst>
              <c:ext xmlns:c16="http://schemas.microsoft.com/office/drawing/2014/chart" uri="{C3380CC4-5D6E-409C-BE32-E72D297353CC}">
                <c16:uniqueId val="{00000021-D704-4628-AB53-F37F708DEA03}"/>
              </c:ext>
            </c:extLst>
          </c:dPt>
          <c:dPt>
            <c:idx val="2"/>
            <c:bubble3D val="0"/>
            <c:spPr>
              <a:solidFill>
                <a:schemeClr val="accent3"/>
              </a:solidFill>
              <a:ln>
                <a:noFill/>
              </a:ln>
              <a:effectLst/>
              <a:sp3d/>
            </c:spPr>
            <c:extLst>
              <c:ext xmlns:c16="http://schemas.microsoft.com/office/drawing/2014/chart" uri="{C3380CC4-5D6E-409C-BE32-E72D297353CC}">
                <c16:uniqueId val="{00000023-D704-4628-AB53-F37F708DEA03}"/>
              </c:ext>
            </c:extLst>
          </c:dPt>
          <c:dPt>
            <c:idx val="3"/>
            <c:bubble3D val="0"/>
            <c:spPr>
              <a:solidFill>
                <a:schemeClr val="accent4"/>
              </a:solidFill>
              <a:ln>
                <a:noFill/>
              </a:ln>
              <a:effectLst/>
              <a:sp3d/>
            </c:spPr>
            <c:extLst>
              <c:ext xmlns:c16="http://schemas.microsoft.com/office/drawing/2014/chart" uri="{C3380CC4-5D6E-409C-BE32-E72D297353CC}">
                <c16:uniqueId val="{00000025-D704-4628-AB53-F37F708DEA03}"/>
              </c:ext>
            </c:extLst>
          </c:dPt>
          <c:dPt>
            <c:idx val="4"/>
            <c:bubble3D val="0"/>
            <c:spPr>
              <a:solidFill>
                <a:schemeClr val="accent5"/>
              </a:solidFill>
              <a:ln>
                <a:noFill/>
              </a:ln>
              <a:effectLst/>
              <a:sp3d/>
            </c:spPr>
            <c:extLst>
              <c:ext xmlns:c16="http://schemas.microsoft.com/office/drawing/2014/chart" uri="{C3380CC4-5D6E-409C-BE32-E72D297353CC}">
                <c16:uniqueId val="{00000027-D704-4628-AB53-F37F708DEA03}"/>
              </c:ext>
            </c:extLst>
          </c:dPt>
          <c:dPt>
            <c:idx val="5"/>
            <c:bubble3D val="0"/>
            <c:spPr>
              <a:solidFill>
                <a:schemeClr val="accent6"/>
              </a:solidFill>
              <a:ln>
                <a:noFill/>
              </a:ln>
              <a:effectLst/>
              <a:sp3d/>
            </c:spPr>
            <c:extLst>
              <c:ext xmlns:c16="http://schemas.microsoft.com/office/drawing/2014/chart" uri="{C3380CC4-5D6E-409C-BE32-E72D297353CC}">
                <c16:uniqueId val="{00000029-D704-4628-AB53-F37F708DEA03}"/>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2B-D704-4628-AB53-F37F708DEA03}"/>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2D-D704-4628-AB53-F37F708DEA03}"/>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2F-D704-4628-AB53-F37F708DEA03}"/>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31-D704-4628-AB53-F37F708DEA03}"/>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33-D704-4628-AB53-F37F708DEA03}"/>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35-D704-4628-AB53-F37F708DEA03}"/>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37-D704-4628-AB53-F37F708DEA03}"/>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39-D704-4628-AB53-F37F708DEA03}"/>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3B-D704-4628-AB53-F37F708DEA03}"/>
              </c:ext>
            </c:extLst>
          </c:dPt>
          <c:cat>
            <c:strRef>
              <c:f>Sheet5!$C$10:$C$25</c:f>
              <c:strCache>
                <c:ptCount val="15"/>
                <c:pt idx="0">
                  <c:v>Debra Kroll</c:v>
                </c:pt>
                <c:pt idx="1">
                  <c:v>Dorothy Rizzo</c:v>
                </c:pt>
                <c:pt idx="2">
                  <c:v>Gary Brown</c:v>
                </c:pt>
                <c:pt idx="3">
                  <c:v>Holly Gaines</c:v>
                </c:pt>
                <c:pt idx="4">
                  <c:v>Jeffrey Akins</c:v>
                </c:pt>
                <c:pt idx="5">
                  <c:v>Juanita Wisozk</c:v>
                </c:pt>
                <c:pt idx="6">
                  <c:v>Kelly Boyd</c:v>
                </c:pt>
                <c:pt idx="7">
                  <c:v>Lawson Moore</c:v>
                </c:pt>
                <c:pt idx="8">
                  <c:v>Lorena Posacco</c:v>
                </c:pt>
                <c:pt idx="9">
                  <c:v>Roy McGlynn</c:v>
                </c:pt>
                <c:pt idx="10">
                  <c:v>Shanna Hettinger</c:v>
                </c:pt>
                <c:pt idx="11">
                  <c:v>Susana Huels</c:v>
                </c:pt>
                <c:pt idx="12">
                  <c:v>Tim Young</c:v>
                </c:pt>
                <c:pt idx="13">
                  <c:v>Velma Riley</c:v>
                </c:pt>
                <c:pt idx="14">
                  <c:v>Vin Hudson</c:v>
                </c:pt>
              </c:strCache>
            </c:strRef>
          </c:cat>
          <c:val>
            <c:numRef>
              <c:f>Sheet5!$E$10:$E$25</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extLst>
            <c:ext xmlns:c16="http://schemas.microsoft.com/office/drawing/2014/chart" uri="{C3380CC4-5D6E-409C-BE32-E72D297353CC}">
              <c16:uniqueId val="{00000002-50C3-46CD-BF0C-B56D510F939D}"/>
            </c:ext>
          </c:extLst>
        </c:ser>
        <c:ser>
          <c:idx val="2"/>
          <c:order val="2"/>
          <c:tx>
            <c:strRef>
              <c:f>Sheet5!$F$9</c:f>
              <c:strCache>
                <c:ptCount val="1"/>
                <c:pt idx="0">
                  <c:v>Count of Column7</c:v>
                </c:pt>
              </c:strCache>
            </c:strRef>
          </c:tx>
          <c:dPt>
            <c:idx val="0"/>
            <c:bubble3D val="0"/>
            <c:spPr>
              <a:solidFill>
                <a:schemeClr val="accent1"/>
              </a:solidFill>
              <a:ln>
                <a:noFill/>
              </a:ln>
              <a:effectLst/>
              <a:sp3d/>
            </c:spPr>
            <c:extLst>
              <c:ext xmlns:c16="http://schemas.microsoft.com/office/drawing/2014/chart" uri="{C3380CC4-5D6E-409C-BE32-E72D297353CC}">
                <c16:uniqueId val="{0000003D-D704-4628-AB53-F37F708DEA03}"/>
              </c:ext>
            </c:extLst>
          </c:dPt>
          <c:dPt>
            <c:idx val="1"/>
            <c:bubble3D val="0"/>
            <c:spPr>
              <a:solidFill>
                <a:schemeClr val="accent2"/>
              </a:solidFill>
              <a:ln>
                <a:noFill/>
              </a:ln>
              <a:effectLst/>
              <a:sp3d/>
            </c:spPr>
            <c:extLst>
              <c:ext xmlns:c16="http://schemas.microsoft.com/office/drawing/2014/chart" uri="{C3380CC4-5D6E-409C-BE32-E72D297353CC}">
                <c16:uniqueId val="{0000003F-D704-4628-AB53-F37F708DEA03}"/>
              </c:ext>
            </c:extLst>
          </c:dPt>
          <c:dPt>
            <c:idx val="2"/>
            <c:bubble3D val="0"/>
            <c:spPr>
              <a:solidFill>
                <a:schemeClr val="accent3"/>
              </a:solidFill>
              <a:ln>
                <a:noFill/>
              </a:ln>
              <a:effectLst/>
              <a:sp3d/>
            </c:spPr>
            <c:extLst>
              <c:ext xmlns:c16="http://schemas.microsoft.com/office/drawing/2014/chart" uri="{C3380CC4-5D6E-409C-BE32-E72D297353CC}">
                <c16:uniqueId val="{00000041-D704-4628-AB53-F37F708DEA03}"/>
              </c:ext>
            </c:extLst>
          </c:dPt>
          <c:dPt>
            <c:idx val="3"/>
            <c:bubble3D val="0"/>
            <c:spPr>
              <a:solidFill>
                <a:schemeClr val="accent4"/>
              </a:solidFill>
              <a:ln>
                <a:noFill/>
              </a:ln>
              <a:effectLst/>
              <a:sp3d/>
            </c:spPr>
            <c:extLst>
              <c:ext xmlns:c16="http://schemas.microsoft.com/office/drawing/2014/chart" uri="{C3380CC4-5D6E-409C-BE32-E72D297353CC}">
                <c16:uniqueId val="{00000043-D704-4628-AB53-F37F708DEA03}"/>
              </c:ext>
            </c:extLst>
          </c:dPt>
          <c:dPt>
            <c:idx val="4"/>
            <c:bubble3D val="0"/>
            <c:spPr>
              <a:solidFill>
                <a:schemeClr val="accent5"/>
              </a:solidFill>
              <a:ln>
                <a:noFill/>
              </a:ln>
              <a:effectLst/>
              <a:sp3d/>
            </c:spPr>
            <c:extLst>
              <c:ext xmlns:c16="http://schemas.microsoft.com/office/drawing/2014/chart" uri="{C3380CC4-5D6E-409C-BE32-E72D297353CC}">
                <c16:uniqueId val="{00000045-D704-4628-AB53-F37F708DEA03}"/>
              </c:ext>
            </c:extLst>
          </c:dPt>
          <c:dPt>
            <c:idx val="5"/>
            <c:bubble3D val="0"/>
            <c:spPr>
              <a:solidFill>
                <a:schemeClr val="accent6"/>
              </a:solidFill>
              <a:ln>
                <a:noFill/>
              </a:ln>
              <a:effectLst/>
              <a:sp3d/>
            </c:spPr>
            <c:extLst>
              <c:ext xmlns:c16="http://schemas.microsoft.com/office/drawing/2014/chart" uri="{C3380CC4-5D6E-409C-BE32-E72D297353CC}">
                <c16:uniqueId val="{00000047-D704-4628-AB53-F37F708DEA03}"/>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49-D704-4628-AB53-F37F708DEA03}"/>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4B-D704-4628-AB53-F37F708DEA03}"/>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4D-D704-4628-AB53-F37F708DEA03}"/>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4F-D704-4628-AB53-F37F708DEA03}"/>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51-D704-4628-AB53-F37F708DEA03}"/>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53-D704-4628-AB53-F37F708DEA03}"/>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55-D704-4628-AB53-F37F708DEA03}"/>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57-D704-4628-AB53-F37F708DEA03}"/>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59-D704-4628-AB53-F37F708DEA03}"/>
              </c:ext>
            </c:extLst>
          </c:dPt>
          <c:cat>
            <c:strRef>
              <c:f>Sheet5!$C$10:$C$25</c:f>
              <c:strCache>
                <c:ptCount val="15"/>
                <c:pt idx="0">
                  <c:v>Debra Kroll</c:v>
                </c:pt>
                <c:pt idx="1">
                  <c:v>Dorothy Rizzo</c:v>
                </c:pt>
                <c:pt idx="2">
                  <c:v>Gary Brown</c:v>
                </c:pt>
                <c:pt idx="3">
                  <c:v>Holly Gaines</c:v>
                </c:pt>
                <c:pt idx="4">
                  <c:v>Jeffrey Akins</c:v>
                </c:pt>
                <c:pt idx="5">
                  <c:v>Juanita Wisozk</c:v>
                </c:pt>
                <c:pt idx="6">
                  <c:v>Kelly Boyd</c:v>
                </c:pt>
                <c:pt idx="7">
                  <c:v>Lawson Moore</c:v>
                </c:pt>
                <c:pt idx="8">
                  <c:v>Lorena Posacco</c:v>
                </c:pt>
                <c:pt idx="9">
                  <c:v>Roy McGlynn</c:v>
                </c:pt>
                <c:pt idx="10">
                  <c:v>Shanna Hettinger</c:v>
                </c:pt>
                <c:pt idx="11">
                  <c:v>Susana Huels</c:v>
                </c:pt>
                <c:pt idx="12">
                  <c:v>Tim Young</c:v>
                </c:pt>
                <c:pt idx="13">
                  <c:v>Velma Riley</c:v>
                </c:pt>
                <c:pt idx="14">
                  <c:v>Vin Hudson</c:v>
                </c:pt>
              </c:strCache>
            </c:strRef>
          </c:cat>
          <c:val>
            <c:numRef>
              <c:f>Sheet5!$F$10:$F$25</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extLst>
            <c:ext xmlns:c16="http://schemas.microsoft.com/office/drawing/2014/chart" uri="{C3380CC4-5D6E-409C-BE32-E72D297353CC}">
              <c16:uniqueId val="{00000003-50C3-46CD-BF0C-B56D510F939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163287</xdr:rowOff>
    </xdr:from>
    <xdr:to>
      <xdr:col>12</xdr:col>
      <xdr:colOff>0</xdr:colOff>
      <xdr:row>65</xdr:row>
      <xdr:rowOff>47625</xdr:rowOff>
    </xdr:to>
    <xdr:graphicFrame macro="">
      <xdr:nvGraphicFramePr>
        <xdr:cNvPr id="2" name="Chart 1">
          <a:extLst>
            <a:ext uri="{FF2B5EF4-FFF2-40B4-BE49-F238E27FC236}">
              <a16:creationId xmlns:a16="http://schemas.microsoft.com/office/drawing/2014/main" id="{0ADDF2C2-AB5B-43D4-9526-FC28B94D4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53069</xdr:colOff>
      <xdr:row>1</xdr:row>
      <xdr:rowOff>163286</xdr:rowOff>
    </xdr:from>
    <xdr:to>
      <xdr:col>14</xdr:col>
      <xdr:colOff>13609</xdr:colOff>
      <xdr:row>64</xdr:row>
      <xdr:rowOff>155121</xdr:rowOff>
    </xdr:to>
    <mc:AlternateContent xmlns:mc="http://schemas.openxmlformats.org/markup-compatibility/2006" xmlns:a14="http://schemas.microsoft.com/office/drawing/2010/main">
      <mc:Choice Requires="a14">
        <xdr:graphicFrame macro="">
          <xdr:nvGraphicFramePr>
            <xdr:cNvPr id="4" name="Column15">
              <a:extLst>
                <a:ext uri="{FF2B5EF4-FFF2-40B4-BE49-F238E27FC236}">
                  <a16:creationId xmlns:a16="http://schemas.microsoft.com/office/drawing/2014/main" id="{296E1BB1-43E3-4A79-B784-FF181F8B0904}"/>
                </a:ext>
              </a:extLst>
            </xdr:cNvPr>
            <xdr:cNvGraphicFramePr/>
          </xdr:nvGraphicFramePr>
          <xdr:xfrm>
            <a:off x="0" y="0"/>
            <a:ext cx="0" cy="0"/>
          </xdr:xfrm>
          <a:graphic>
            <a:graphicData uri="http://schemas.microsoft.com/office/drawing/2010/slicer">
              <sle:slicer xmlns:sle="http://schemas.microsoft.com/office/drawing/2010/slicer" name="Column15"/>
            </a:graphicData>
          </a:graphic>
        </xdr:graphicFrame>
      </mc:Choice>
      <mc:Fallback xmlns="">
        <xdr:sp macro="" textlink="">
          <xdr:nvSpPr>
            <xdr:cNvPr id="0" name=""/>
            <xdr:cNvSpPr>
              <a:spLocks noTextEdit="1"/>
            </xdr:cNvSpPr>
          </xdr:nvSpPr>
          <xdr:spPr>
            <a:xfrm>
              <a:off x="15592426" y="353786"/>
              <a:ext cx="2464254" cy="11993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8</xdr:row>
      <xdr:rowOff>0</xdr:rowOff>
    </xdr:from>
    <xdr:to>
      <xdr:col>14</xdr:col>
      <xdr:colOff>533400</xdr:colOff>
      <xdr:row>24</xdr:row>
      <xdr:rowOff>180976</xdr:rowOff>
    </xdr:to>
    <xdr:graphicFrame macro="">
      <xdr:nvGraphicFramePr>
        <xdr:cNvPr id="2" name="Chart 1">
          <a:extLst>
            <a:ext uri="{FF2B5EF4-FFF2-40B4-BE49-F238E27FC236}">
              <a16:creationId xmlns:a16="http://schemas.microsoft.com/office/drawing/2014/main" id="{F50AF371-BBED-43B9-A469-21A45C59F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7</xdr:row>
      <xdr:rowOff>161926</xdr:rowOff>
    </xdr:from>
    <xdr:to>
      <xdr:col>18</xdr:col>
      <xdr:colOff>19049</xdr:colOff>
      <xdr:row>25</xdr:row>
      <xdr:rowOff>0</xdr:rowOff>
    </xdr:to>
    <mc:AlternateContent xmlns:mc="http://schemas.openxmlformats.org/markup-compatibility/2006" xmlns:a14="http://schemas.microsoft.com/office/drawing/2010/main">
      <mc:Choice Requires="a14">
        <xdr:graphicFrame macro="">
          <xdr:nvGraphicFramePr>
            <xdr:cNvPr id="3" name="Column5">
              <a:extLst>
                <a:ext uri="{FF2B5EF4-FFF2-40B4-BE49-F238E27FC236}">
                  <a16:creationId xmlns:a16="http://schemas.microsoft.com/office/drawing/2014/main" id="{AA725849-BADC-4738-8189-BE72BDAD956B}"/>
                </a:ext>
              </a:extLst>
            </xdr:cNvPr>
            <xdr:cNvGraphicFramePr/>
          </xdr:nvGraphicFramePr>
          <xdr:xfrm>
            <a:off x="0" y="0"/>
            <a:ext cx="0" cy="0"/>
          </xdr:xfrm>
          <a:graphic>
            <a:graphicData uri="http://schemas.microsoft.com/office/drawing/2010/slicer">
              <sle:slicer xmlns:sle="http://schemas.microsoft.com/office/drawing/2010/slicer" name="Column5"/>
            </a:graphicData>
          </a:graphic>
        </xdr:graphicFrame>
      </mc:Choice>
      <mc:Fallback xmlns="">
        <xdr:sp macro="" textlink="">
          <xdr:nvSpPr>
            <xdr:cNvPr id="0" name=""/>
            <xdr:cNvSpPr>
              <a:spLocks noTextEdit="1"/>
            </xdr:cNvSpPr>
          </xdr:nvSpPr>
          <xdr:spPr>
            <a:xfrm>
              <a:off x="11477625" y="1495426"/>
              <a:ext cx="1847849" cy="3267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473.68907615741" createdVersion="6" refreshedVersion="6" minRefreshableVersion="3" recordCount="61" xr:uid="{9C184523-11FE-45CD-9D1D-F29746CE55FF}">
  <cacheSource type="worksheet">
    <worksheetSource name="Table1"/>
  </cacheSource>
  <cacheFields count="18">
    <cacheField name="Column1" numFmtId="0">
      <sharedItems count="61">
        <s v="Account Name"/>
        <s v="SB 1"/>
        <s v="SB 2"/>
        <s v="SB 3"/>
        <s v="SB 4"/>
        <s v="SB 5"/>
        <s v="SB 6"/>
        <s v="SB 7"/>
        <s v="SB 8"/>
        <s v="SB 9"/>
        <s v="SB 10"/>
        <s v="SB 11"/>
        <s v="SB 12"/>
        <s v="SB 13"/>
        <s v="SB 14"/>
        <s v="SB 15"/>
        <s v="MB 1"/>
        <s v="MB 2"/>
        <s v="MB 3"/>
        <s v="MB 4"/>
        <s v="MB 5"/>
        <s v="MB 6"/>
        <s v="MB 7"/>
        <s v="MB 8"/>
        <s v="MB 9"/>
        <s v="MB 10"/>
        <s v="MB 11"/>
        <s v="MB 12"/>
        <s v="MB 13"/>
        <s v="MB 14"/>
        <s v="MB 15"/>
        <s v="OR 1"/>
        <s v="OR 2"/>
        <s v="OR 3"/>
        <s v="OR 4"/>
        <s v="OR 5"/>
        <s v="OR 6"/>
        <s v="OR 7"/>
        <s v="OR 8"/>
        <s v="OR 9"/>
        <s v="OR 10"/>
        <s v="OR 11"/>
        <s v="OR 12"/>
        <s v="OR 13"/>
        <s v="OR 14"/>
        <s v="OR 15"/>
        <s v="WD 1"/>
        <s v="WD 2"/>
        <s v="WD 3"/>
        <s v="WD 4"/>
        <s v="WD 5"/>
        <s v="WD 6"/>
        <s v="WD 7"/>
        <s v="WD 8"/>
        <s v="WD 9"/>
        <s v="WD 10"/>
        <s v="WD 11"/>
        <s v="WD 12"/>
        <s v="WD 13"/>
        <s v="WD 14"/>
        <s v="WD 15"/>
      </sharedItems>
    </cacheField>
    <cacheField name="Column2" numFmtId="0">
      <sharedItems/>
    </cacheField>
    <cacheField name="Column3" numFmtId="0">
      <sharedItems count="61">
        <s v="Decision Maker"/>
        <s v="Dorothy Rizzo"/>
        <s v="Lawson Moore"/>
        <s v="Vin Hudson"/>
        <s v="Susana Huels"/>
        <s v="Shanna Hettinger"/>
        <s v="Roy McGlynn"/>
        <s v="Lorena Posacco"/>
        <s v="Juanita Wisozk"/>
        <s v="Velma Riley"/>
        <s v="Holly Gaines"/>
        <s v="Gary Brown"/>
        <s v="Jeffrey Akins"/>
        <s v="Tim Young"/>
        <s v="Debra Kroll"/>
        <s v="Kelly Boyd"/>
        <s v="Dan Hill"/>
        <s v="Javier George"/>
        <s v="Christopher Evans"/>
        <s v="Julie Ross"/>
        <s v="Bill Callahan"/>
        <s v="Anthony Brooks"/>
        <s v="Charlotte Leroux"/>
        <s v="Nina Coulter"/>
        <s v="Mia Ang"/>
        <s v="Kathy Rogers"/>
        <s v="Rita Varga"/>
        <s v="Mel Berkowitz"/>
        <s v="Debra Martin"/>
        <s v="Deshaun Fletcher"/>
        <s v="Kari Lenz"/>
        <s v="John Mackey"/>
        <s v="Raymond Heywin"/>
        <s v="Janie Roberson"/>
        <s v="Brooke Hayes"/>
        <s v="Lee Niemeyer"/>
        <s v="Stephen Harris"/>
        <s v="Juan Scott"/>
        <s v="Kurt Issacs"/>
        <s v="Dominique Johnson"/>
        <s v="Larry Alaimo"/>
        <s v="Carlos Moya"/>
        <s v="Shaun Salvatore"/>
        <s v="Annie Fuentes"/>
        <s v="Maria Sawyer"/>
        <s v="Darnell Straughter"/>
        <s v="Richard Breaux"/>
        <s v="Craig Collins"/>
        <s v="Donna Lam"/>
        <s v="Teresa Vasbinder"/>
        <s v="Andre Mobley"/>
        <s v="Ray Hernandez"/>
        <s v="Thomas Stewart"/>
        <s v="Henry Lange"/>
        <s v="Danielle Tomas"/>
        <s v="Joe Schimke"/>
        <s v="Carlos Jackson"/>
        <s v="Russell Wallace"/>
        <s v="Shameka West"/>
        <s v="Kevin Fleming"/>
        <s v="Anna Grey"/>
      </sharedItems>
    </cacheField>
    <cacheField name="Column4" numFmtId="0">
      <sharedItems count="61">
        <s v="Phone Number"/>
        <s v="(880) 283-6803"/>
        <s v="(711) 426-7350"/>
        <s v="(952) 952-5573"/>
        <s v="(491) 505-6064"/>
        <s v="(412) 570-0596"/>
        <s v="(594) 807-4187"/>
        <s v="(678) 294-8103"/>
        <s v="(305) 531-1310"/>
        <s v="(697) 543-0310"/>
        <s v="(277) 456-4626"/>
        <s v="(459) 968-9453"/>
        <s v="(313) 417-8968"/>
        <s v="(876) 653-1727"/>
        <s v="(628) 832-4986"/>
        <s v="(220) 929-0797"/>
        <s v="(248) 450-0797"/>
        <s v="(964) 214-3742"/>
        <s v="(831) 406-6300"/>
        <s v="(778) 387-0744"/>
        <s v="(617) 419-7996"/>
        <s v="(349) 801-7566"/>
        <s v="(784) 634-6873"/>
        <s v="(938) 752-9381"/>
        <s v="(253) 861-1301"/>
        <s v="(939) 738-6471"/>
        <s v="(754) 696-3109"/>
        <s v="(967) 547-1542"/>
        <s v="(743) 960-6716"/>
        <s v="(845) 304-6511"/>
        <s v="(886) 554-5339"/>
        <s v="(831) 581-1892"/>
        <s v="(571) 843-1746"/>
        <s v="(924) 516-6566"/>
        <s v="(247) 999-3394"/>
        <s v="(920) 451-3973"/>
        <s v="(258) 948-7479"/>
        <s v="(357) 532-0838"/>
        <s v="(454) 903-5770"/>
        <s v="(336) 448-7026"/>
        <s v="(242) 869-1226"/>
        <s v="(485) 453-8693"/>
        <s v="(691) 657-1498"/>
        <s v="(462) 693-6254"/>
        <s v="(881) 243-5276"/>
        <s v="(680) 628-4625"/>
        <s v="(685) 981-8556"/>
        <s v="(828) 840-2736"/>
        <s v="(931) 618-9558"/>
        <s v="(261) 690-0303"/>
        <s v="(597) 701-9429"/>
        <s v="(609) 345-8163"/>
        <s v="(381) 643-1230"/>
        <s v="(293) 473-1512"/>
        <s v="(459) 261-2301"/>
        <s v="(936) 816-9148"/>
        <s v="(201) 363-0653"/>
        <s v="(237) 890-0247"/>
        <s v="(488) 656-0761"/>
        <s v="(650) 848-8284"/>
        <s v="(980) 437-1451"/>
      </sharedItems>
    </cacheField>
    <cacheField name="Column5" numFmtId="0">
      <sharedItems count="5">
        <s v="Account Type"/>
        <s v="Small Business"/>
        <s v="Medium Business"/>
        <s v="Online Retailer"/>
        <s v="Wholesale Distributor"/>
      </sharedItems>
    </cacheField>
    <cacheField name="Product Lines" numFmtId="0">
      <sharedItems/>
    </cacheField>
    <cacheField name="Column6" numFmtId="0">
      <sharedItems/>
    </cacheField>
    <cacheField name="Column7" numFmtId="0">
      <sharedItems/>
    </cacheField>
    <cacheField name="Marketing / Promotion Programs" numFmtId="0">
      <sharedItems/>
    </cacheField>
    <cacheField name="Column8" numFmtId="0">
      <sharedItems/>
    </cacheField>
    <cacheField name="Column9" numFmtId="0">
      <sharedItems/>
    </cacheField>
    <cacheField name="Column10" numFmtId="0">
      <sharedItems/>
    </cacheField>
    <cacheField name="Product 1 Sales Volume (units)" numFmtId="0">
      <sharedItems containsSemiMixedTypes="0" containsString="0" containsNumber="1" containsInteger="1" minValue="24" maxValue="9791" count="61">
        <n v="2017"/>
        <n v="1982"/>
        <n v="2786"/>
        <n v="1209"/>
        <n v="906"/>
        <n v="1421"/>
        <n v="2341"/>
        <n v="9252"/>
        <n v="1581"/>
        <n v="9766"/>
        <n v="1530"/>
        <n v="7555"/>
        <n v="1532"/>
        <n v="24"/>
        <n v="861"/>
        <n v="9058"/>
        <n v="3501"/>
        <n v="3916"/>
        <n v="700"/>
        <n v="9773"/>
        <n v="73"/>
        <n v="238"/>
        <n v="1368"/>
        <n v="8331"/>
        <n v="1779"/>
        <n v="570"/>
        <n v="6156"/>
        <n v="209"/>
        <n v="6309"/>
        <n v="712"/>
        <n v="2390"/>
        <n v="2519"/>
        <n v="138"/>
        <n v="8873"/>
        <n v="3297"/>
        <n v="1092"/>
        <n v="2541"/>
        <n v="742"/>
        <n v="7703"/>
        <n v="488"/>
        <n v="376"/>
        <n v="7840"/>
        <n v="1038"/>
        <n v="8891"/>
        <n v="1290"/>
        <n v="431"/>
        <n v="8156"/>
        <n v="299"/>
        <n v="1323"/>
        <n v="8466"/>
        <n v="870"/>
        <n v="1497"/>
        <n v="1082"/>
        <n v="9791"/>
        <n v="1357"/>
        <n v="576"/>
        <n v="128"/>
        <n v="8034"/>
        <n v="1263"/>
        <n v="1032"/>
        <n v="1014"/>
      </sharedItems>
    </cacheField>
    <cacheField name="Column11" numFmtId="0">
      <sharedItems containsSemiMixedTypes="0" containsString="0" containsNumber="1" containsInteger="1" minValue="286" maxValue="9610" count="61">
        <n v="2018"/>
        <n v="5388"/>
        <n v="3804"/>
        <n v="1534"/>
        <n v="1251"/>
        <n v="1893"/>
        <n v="6105"/>
        <n v="8499"/>
        <n v="4799"/>
        <n v="8049"/>
        <n v="1620"/>
        <n v="6551"/>
        <n v="2678"/>
        <n v="1797"/>
        <n v="1314"/>
        <n v="4839"/>
        <n v="7079"/>
        <n v="4218"/>
        <n v="5721"/>
        <n v="9179"/>
        <n v="3485"/>
        <n v="1235"/>
        <n v="3447"/>
        <n v="7667"/>
        <n v="2124"/>
        <n v="1322"/>
        <n v="6110"/>
        <n v="621"/>
        <n v="6227"/>
        <n v="4182"/>
        <n v="2415"/>
        <n v="3938"/>
        <n v="286"/>
        <n v="8484"/>
        <n v="4866"/>
        <n v="3140"/>
        <n v="3794"/>
        <n v="3751"/>
        <n v="6957"/>
        <n v="5535"/>
        <n v="889"/>
        <n v="5804"/>
        <n v="3615"/>
        <n v="5952"/>
        <n v="4033"/>
        <n v="6231"/>
        <n v="1245"/>
        <n v="657"/>
        <n v="4963"/>
        <n v="4079"/>
        <n v="2428"/>
        <n v="1768"/>
        <n v="3353"/>
        <n v="9610"/>
        <n v="4189"/>
        <n v="2628"/>
        <n v="416"/>
        <n v="6541"/>
        <n v="2517"/>
        <n v="3919"/>
        <n v="2254"/>
      </sharedItems>
    </cacheField>
    <cacheField name="Column12" numFmtId="0">
      <sharedItems containsSemiMixedTypes="0" containsString="0" containsNumber="1" containsInteger="1" minValue="747" maxValue="8390" count="61">
        <n v="2019"/>
        <n v="7063"/>
        <n v="4121"/>
        <n v="1634"/>
        <n v="2897"/>
        <n v="2722"/>
        <n v="7777"/>
        <n v="991"/>
        <n v="6582"/>
        <n v="5556"/>
        <n v="2027"/>
        <n v="5188"/>
        <n v="4068"/>
        <n v="3548"/>
        <n v="1810"/>
        <n v="4776"/>
        <n v="7438"/>
        <n v="5072"/>
        <n v="6247"/>
        <n v="8390"/>
        <n v="4592"/>
        <n v="1822"/>
        <n v="4535"/>
        <n v="5952"/>
        <n v="2844"/>
        <n v="7279"/>
        <n v="5791"/>
        <n v="3098"/>
        <n v="5123"/>
        <n v="6087"/>
        <n v="3461"/>
        <n v="5190"/>
        <n v="6750"/>
        <n v="7883"/>
        <n v="4928"/>
        <n v="4123"/>
        <n v="3984"/>
        <n v="4423"/>
        <n v="3898"/>
        <n v="5775"/>
        <n v="4373"/>
        <n v="4259"/>
        <n v="3712"/>
        <n v="5914"/>
        <n v="6956"/>
        <n v="7478"/>
        <n v="791"/>
        <n v="6238"/>
        <n v="6292"/>
        <n v="2797"/>
        <n v="7386"/>
        <n v="2804"/>
        <n v="6351"/>
        <n v="7534"/>
        <n v="5407"/>
        <n v="3612"/>
        <n v="747"/>
        <n v="3311"/>
        <n v="8042"/>
        <n v="4466"/>
        <n v="4534"/>
      </sharedItems>
    </cacheField>
    <cacheField name="Column13" numFmtId="0">
      <sharedItems containsSemiMixedTypes="0" containsString="0" containsNumber="1" containsInteger="1" minValue="338" maxValue="9024" count="61">
        <n v="2020"/>
        <n v="7208"/>
        <n v="6210"/>
        <n v="4302"/>
        <n v="4499"/>
        <n v="4410"/>
        <n v="7891"/>
        <n v="448"/>
        <n v="9024"/>
        <n v="5202"/>
        <n v="4881"/>
        <n v="3436"/>
        <n v="4278"/>
        <n v="3668"/>
        <n v="6510"/>
        <n v="4024"/>
        <n v="7443"/>
        <n v="5201"/>
        <n v="8495"/>
        <n v="8256"/>
        <n v="5143"/>
        <n v="7074"/>
        <n v="5476"/>
        <n v="1998"/>
        <n v="6877"/>
        <n v="8443"/>
        <n v="1759"/>
        <n v="7118"/>
        <n v="4968"/>
        <n v="7494"/>
        <n v="3850"/>
        <n v="8203"/>
        <n v="8254"/>
        <n v="7499"/>
        <n v="8451"/>
        <n v="4366"/>
        <n v="8803"/>
        <n v="8733"/>
        <n v="1857"/>
        <n v="7661"/>
        <n v="6803"/>
        <n v="4243"/>
        <n v="5819"/>
        <n v="5405"/>
        <n v="7929"/>
        <n v="8039"/>
        <n v="338"/>
        <n v="8922"/>
        <n v="6728"/>
        <n v="2245"/>
        <n v="8835"/>
        <n v="5718"/>
        <n v="8550"/>
        <n v="5080"/>
        <n v="6233"/>
        <n v="5066"/>
        <n v="1028"/>
        <n v="3254"/>
        <n v="8222"/>
        <n v="5568"/>
        <n v="6796"/>
      </sharedItems>
    </cacheField>
    <cacheField name="Column14" numFmtId="0">
      <sharedItems containsSemiMixedTypes="0" containsString="0" containsNumber="1" containsInteger="1" minValue="44" maxValue="9983" count="61">
        <n v="2021"/>
        <n v="9093"/>
        <n v="6909"/>
        <n v="9768"/>
        <n v="9428"/>
        <n v="5873"/>
        <n v="8758"/>
        <n v="211"/>
        <n v="9759"/>
        <n v="2373"/>
        <n v="6002"/>
        <n v="2359"/>
        <n v="5382"/>
        <n v="8592"/>
        <n v="9271"/>
        <n v="369"/>
        <n v="9225"/>
        <n v="7588"/>
        <n v="9236"/>
        <n v="3815"/>
        <n v="8100"/>
        <n v="8207"/>
        <n v="9983"/>
        <n v="375"/>
        <n v="9570"/>
        <n v="9571"/>
        <n v="969"/>
        <n v="8433"/>
        <n v="3857"/>
        <n v="8599"/>
        <n v="4657"/>
        <n v="8780"/>
        <n v="8656"/>
        <n v="6592"/>
        <n v="9585"/>
        <n v="9482"/>
        <n v="9338"/>
        <n v="9909"/>
        <n v="1512"/>
        <n v="9206"/>
        <n v="7578"/>
        <n v="907"/>
        <n v="9589"/>
        <n v="4031"/>
        <n v="8834"/>
        <n v="8271"/>
        <n v="44"/>
        <n v="9081"/>
        <n v="8202"/>
        <n v="1696"/>
        <n v="9766"/>
        <n v="9822"/>
        <n v="9272"/>
        <n v="4936"/>
        <n v="9681"/>
        <n v="5156"/>
        <n v="6357"/>
        <n v="2687"/>
        <n v="9686"/>
        <n v="6476"/>
        <n v="7730"/>
      </sharedItems>
    </cacheField>
    <cacheField name="Column15" numFmtId="0">
      <sharedItems containsMixedTypes="1" containsNumber="1" minValue="-0.72898466539472961" maxValue="3.3498147004699526" count="61">
        <s v="5 YR CAGR"/>
        <n v="0.46352749292411066"/>
        <n v="0.25489826874508914"/>
        <n v="0.68595057009486848"/>
        <n v="0.79606828454142997"/>
        <n v="0.42582583880267388"/>
        <n v="0.390755806385503"/>
        <n v="-0.61139202601329412"/>
        <n v="0.57622554654037406"/>
        <n v="-0.29790601141591733"/>
        <n v="0.40734683274409145"/>
        <n v="-0.25247905109930902"/>
        <n v="0.3690560602470212"/>
        <n v="3.3498147004699526"/>
        <n v="0.81146879617010592"/>
        <n v="-0.55073921414194782"/>
        <n v="0.27407081068210992"/>
        <n v="0.17983468576187267"/>
        <n v="0.90588403033885334"/>
        <n v="-0.20956409258224717"/>
        <n v="2.2455667067018901"/>
        <n v="1.4232703532020747"/>
        <n v="0.64359095818904954"/>
        <n v="-0.53938981874158332"/>
        <n v="0.52294422157633269"/>
        <n v="1.0242801438529217"/>
        <n v="-0.37012221518144006"/>
        <n v="1.5203389637502625"/>
        <n v="-0.11575568185753915"/>
        <n v="0.86419779018759768"/>
        <n v="0.18148193130433588"/>
        <n v="0.36636455401735013"/>
        <n v="1.8142296888697582"/>
        <n v="-7.1596691853915484E-2"/>
        <n v="0.30577482876902251"/>
        <n v="0.71660086943635504"/>
        <n v="0.38456165928272146"/>
        <n v="0.91164163510334228"/>
        <n v="-0.33438519484677687"/>
        <n v="1.084072328017021"/>
        <n v="1.1188084145320056"/>
        <n v="-0.41679289513417705"/>
        <n v="0.74338775485751718"/>
        <n v="-0.17943016656995925"/>
        <n v="0.61767741115573149"/>
        <n v="1.0930046233022455"/>
        <n v="-0.72898466539472961"/>
        <n v="1.3475541667800686"/>
        <n v="0.57793816418173161"/>
        <n v="-0.33098339677163802"/>
        <n v="0.83041416010220881"/>
        <n v="0.60045892388204325"/>
        <n v="0.71094693671276654"/>
        <n v="-0.15736979056747447"/>
        <n v="0.63431246502429839"/>
        <n v="0.72970725225475852"/>
        <n v="1.6546701130112136"/>
        <n v="-0.23952671916055424"/>
        <n v="0.66412244620782168"/>
        <n v="0.58272982283102692"/>
        <n v="0.66163405613342663"/>
      </sharedItems>
    </cacheField>
  </cacheFields>
  <extLst>
    <ext xmlns:x14="http://schemas.microsoft.com/office/spreadsheetml/2009/9/main" uri="{725AE2AE-9491-48be-B2B4-4EB974FC3084}">
      <x14:pivotCacheDefinition pivotCacheId="597299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s v="Account Address"/>
    <x v="0"/>
    <x v="0"/>
    <x v="0"/>
    <s v="Product 1"/>
    <s v="Product 2"/>
    <s v="Product 3"/>
    <s v="Social Media"/>
    <s v="Coupons"/>
    <s v="Catalog Inclusion"/>
    <s v="Posters"/>
    <x v="0"/>
    <x v="0"/>
    <x v="0"/>
    <x v="0"/>
    <x v="0"/>
    <x v="0"/>
  </r>
  <r>
    <x v="1"/>
    <s v="2131 Patterson Road, Brooklyn NY 11201"/>
    <x v="1"/>
    <x v="1"/>
    <x v="1"/>
    <s v="Yes"/>
    <s v="Yes"/>
    <s v="Yes"/>
    <s v="Yes"/>
    <s v="Yes"/>
    <s v="Yes"/>
    <s v="Yes"/>
    <x v="1"/>
    <x v="1"/>
    <x v="1"/>
    <x v="1"/>
    <x v="1"/>
    <x v="1"/>
  </r>
  <r>
    <x v="2"/>
    <s v="3685 Morningview Lane, New York NY 10013"/>
    <x v="2"/>
    <x v="2"/>
    <x v="1"/>
    <s v="Yes"/>
    <s v="Yes"/>
    <s v="Yes"/>
    <s v="No"/>
    <s v="Yes"/>
    <s v="Yes"/>
    <s v="Yes"/>
    <x v="2"/>
    <x v="2"/>
    <x v="2"/>
    <x v="2"/>
    <x v="2"/>
    <x v="2"/>
  </r>
  <r>
    <x v="3"/>
    <s v="2285 Ladybug Drive, New York NY 10013"/>
    <x v="3"/>
    <x v="3"/>
    <x v="1"/>
    <s v="Yes"/>
    <s v="Yes"/>
    <s v="Yes"/>
    <s v="Yes"/>
    <s v="Yes"/>
    <s v="Yes"/>
    <s v="Yes"/>
    <x v="3"/>
    <x v="3"/>
    <x v="3"/>
    <x v="3"/>
    <x v="3"/>
    <x v="3"/>
  </r>
  <r>
    <x v="4"/>
    <s v="2930 Southern Street, New York NY 10005"/>
    <x v="4"/>
    <x v="4"/>
    <x v="1"/>
    <s v="Yes"/>
    <s v="Yes"/>
    <s v="Yes"/>
    <s v="Yes"/>
    <s v="Yes"/>
    <s v="Yes"/>
    <s v="Yes"/>
    <x v="4"/>
    <x v="4"/>
    <x v="4"/>
    <x v="4"/>
    <x v="4"/>
    <x v="4"/>
  </r>
  <r>
    <x v="5"/>
    <s v="2807 Geraldine Lane, New York NY 10004"/>
    <x v="5"/>
    <x v="5"/>
    <x v="1"/>
    <s v="Yes"/>
    <s v="Yes"/>
    <s v="No"/>
    <s v="Yes"/>
    <s v="Yes"/>
    <s v="Yes"/>
    <s v="Yes"/>
    <x v="5"/>
    <x v="5"/>
    <x v="5"/>
    <x v="5"/>
    <x v="5"/>
    <x v="5"/>
  </r>
  <r>
    <x v="6"/>
    <s v="7778 Cherry Road, Bronx NY 10467"/>
    <x v="6"/>
    <x v="6"/>
    <x v="1"/>
    <s v="Yes"/>
    <s v="Yes"/>
    <s v="Yes"/>
    <s v="No"/>
    <s v="Yes"/>
    <s v="Yes"/>
    <s v="No"/>
    <x v="6"/>
    <x v="6"/>
    <x v="6"/>
    <x v="6"/>
    <x v="6"/>
    <x v="6"/>
  </r>
  <r>
    <x v="7"/>
    <s v="48 Winchester Avenue, New York NY 10024"/>
    <x v="7"/>
    <x v="7"/>
    <x v="1"/>
    <s v="Yes"/>
    <s v="No"/>
    <s v="No"/>
    <s v="No"/>
    <s v="No"/>
    <s v="Yes"/>
    <s v="No"/>
    <x v="7"/>
    <x v="7"/>
    <x v="7"/>
    <x v="7"/>
    <x v="7"/>
    <x v="7"/>
  </r>
  <r>
    <x v="8"/>
    <s v="8735 Squaw Creek Drive, Brooklyn NY 11214"/>
    <x v="8"/>
    <x v="8"/>
    <x v="1"/>
    <s v="Yes"/>
    <s v="No"/>
    <s v="Yes"/>
    <s v="Yes"/>
    <s v="No"/>
    <s v="Yes"/>
    <s v="No"/>
    <x v="8"/>
    <x v="8"/>
    <x v="8"/>
    <x v="8"/>
    <x v="8"/>
    <x v="8"/>
  </r>
  <r>
    <x v="9"/>
    <s v="267 Third Road, New York NY 10034"/>
    <x v="9"/>
    <x v="9"/>
    <x v="1"/>
    <s v="Yes"/>
    <s v="No"/>
    <s v="No"/>
    <s v="No"/>
    <s v="No"/>
    <s v="Yes"/>
    <s v="No"/>
    <x v="9"/>
    <x v="9"/>
    <x v="9"/>
    <x v="9"/>
    <x v="9"/>
    <x v="9"/>
  </r>
  <r>
    <x v="10"/>
    <s v="102 Coffee Court, Bronx NY 10461"/>
    <x v="10"/>
    <x v="10"/>
    <x v="1"/>
    <s v="Yes"/>
    <s v="Yes"/>
    <s v="No"/>
    <s v="Yes"/>
    <s v="No"/>
    <s v="Yes"/>
    <s v="No"/>
    <x v="10"/>
    <x v="10"/>
    <x v="10"/>
    <x v="10"/>
    <x v="10"/>
    <x v="10"/>
  </r>
  <r>
    <x v="11"/>
    <s v="44 W. Pheasant Street, Brooklyn NY 11233"/>
    <x v="11"/>
    <x v="11"/>
    <x v="1"/>
    <s v="Yes"/>
    <s v="No"/>
    <s v="No"/>
    <s v="No"/>
    <s v="No"/>
    <s v="No"/>
    <s v="No"/>
    <x v="11"/>
    <x v="11"/>
    <x v="11"/>
    <x v="11"/>
    <x v="11"/>
    <x v="11"/>
  </r>
  <r>
    <x v="12"/>
    <s v="7488 N. Marconi Ave, Brooklyn NY 11237"/>
    <x v="12"/>
    <x v="12"/>
    <x v="1"/>
    <s v="Yes"/>
    <s v="No"/>
    <s v="No"/>
    <s v="No"/>
    <s v="No"/>
    <s v="No"/>
    <s v="No"/>
    <x v="12"/>
    <x v="12"/>
    <x v="12"/>
    <x v="12"/>
    <x v="12"/>
    <x v="12"/>
  </r>
  <r>
    <x v="13"/>
    <s v="9575 Shipley Court, Brooklyn NY 11201"/>
    <x v="13"/>
    <x v="13"/>
    <x v="1"/>
    <s v="Yes"/>
    <s v="No"/>
    <s v="Yes"/>
    <s v="Yes"/>
    <s v="Yes"/>
    <s v="Yes"/>
    <s v="Yes"/>
    <x v="13"/>
    <x v="13"/>
    <x v="13"/>
    <x v="13"/>
    <x v="13"/>
    <x v="13"/>
  </r>
  <r>
    <x v="14"/>
    <s v="8156 Lake View Street, New York, NY 10025"/>
    <x v="14"/>
    <x v="14"/>
    <x v="1"/>
    <s v="Yes"/>
    <s v="Yes"/>
    <s v="Yes"/>
    <s v="Yes"/>
    <s v="Yes"/>
    <s v="Yes"/>
    <s v="Yes"/>
    <x v="14"/>
    <x v="14"/>
    <x v="14"/>
    <x v="14"/>
    <x v="14"/>
    <x v="14"/>
  </r>
  <r>
    <x v="15"/>
    <s v="44 Madison Dr, New York NY 10032"/>
    <x v="15"/>
    <x v="15"/>
    <x v="1"/>
    <s v="Yes"/>
    <s v="Yes"/>
    <s v="No"/>
    <s v="No"/>
    <s v="No"/>
    <s v="No"/>
    <s v="No"/>
    <x v="15"/>
    <x v="15"/>
    <x v="15"/>
    <x v="15"/>
    <x v="15"/>
    <x v="15"/>
  </r>
  <r>
    <x v="16"/>
    <s v="9848 Linden St, New York NY 10011"/>
    <x v="16"/>
    <x v="16"/>
    <x v="2"/>
    <s v="Yes"/>
    <s v="Yes"/>
    <s v="No"/>
    <s v="No"/>
    <s v="No"/>
    <s v="No"/>
    <s v="No"/>
    <x v="16"/>
    <x v="16"/>
    <x v="16"/>
    <x v="16"/>
    <x v="16"/>
    <x v="16"/>
  </r>
  <r>
    <x v="17"/>
    <s v="805 South Pilgrim Court, Brooklyn NY 11225"/>
    <x v="17"/>
    <x v="17"/>
    <x v="2"/>
    <s v="Yes"/>
    <s v="Yes"/>
    <s v="No"/>
    <s v="No"/>
    <s v="No"/>
    <s v="No"/>
    <s v="No"/>
    <x v="17"/>
    <x v="17"/>
    <x v="17"/>
    <x v="17"/>
    <x v="17"/>
    <x v="17"/>
  </r>
  <r>
    <x v="18"/>
    <s v="9132 Redwood Rd, Bronx NY 10466"/>
    <x v="18"/>
    <x v="18"/>
    <x v="2"/>
    <s v="Yes"/>
    <s v="Yes"/>
    <s v="No"/>
    <s v="Yes"/>
    <s v="No"/>
    <s v="Yes"/>
    <s v="No"/>
    <x v="18"/>
    <x v="18"/>
    <x v="18"/>
    <x v="18"/>
    <x v="18"/>
    <x v="18"/>
  </r>
  <r>
    <x v="19"/>
    <s v="3 Warren Drive, New York NY 10040"/>
    <x v="19"/>
    <x v="19"/>
    <x v="2"/>
    <s v="Yes"/>
    <s v="Yes"/>
    <s v="No"/>
    <s v="No"/>
    <s v="No"/>
    <s v="No"/>
    <s v="No"/>
    <x v="19"/>
    <x v="19"/>
    <x v="19"/>
    <x v="19"/>
    <x v="19"/>
    <x v="19"/>
  </r>
  <r>
    <x v="20"/>
    <s v="402 Bridgeton Lane, Bronx NY 10468"/>
    <x v="20"/>
    <x v="20"/>
    <x v="2"/>
    <s v="Yes"/>
    <s v="Yes"/>
    <s v="No"/>
    <s v="Yes"/>
    <s v="No"/>
    <s v="Yes"/>
    <s v="No"/>
    <x v="20"/>
    <x v="20"/>
    <x v="20"/>
    <x v="20"/>
    <x v="20"/>
    <x v="20"/>
  </r>
  <r>
    <x v="21"/>
    <s v="6 E. Nichols Ave, New York NY 10027"/>
    <x v="21"/>
    <x v="21"/>
    <x v="2"/>
    <s v="Yes"/>
    <s v="Yes"/>
    <s v="No"/>
    <s v="Yes"/>
    <s v="No"/>
    <s v="Yes"/>
    <s v="No"/>
    <x v="21"/>
    <x v="21"/>
    <x v="21"/>
    <x v="21"/>
    <x v="21"/>
    <x v="21"/>
  </r>
  <r>
    <x v="22"/>
    <s v="323 North Edgewood St, Bronx NY 10457"/>
    <x v="22"/>
    <x v="22"/>
    <x v="2"/>
    <s v="Yes"/>
    <s v="Yes"/>
    <s v="No"/>
    <s v="Yes"/>
    <s v="No"/>
    <s v="Yes"/>
    <s v="No"/>
    <x v="22"/>
    <x v="22"/>
    <x v="22"/>
    <x v="22"/>
    <x v="22"/>
    <x v="22"/>
  </r>
  <r>
    <x v="23"/>
    <s v="484 Thorne St, New York NY 10128"/>
    <x v="23"/>
    <x v="23"/>
    <x v="2"/>
    <s v="Yes"/>
    <s v="No"/>
    <s v="No"/>
    <s v="No"/>
    <s v="Yes"/>
    <s v="No"/>
    <s v="No"/>
    <x v="23"/>
    <x v="23"/>
    <x v="23"/>
    <x v="23"/>
    <x v="23"/>
    <x v="23"/>
  </r>
  <r>
    <x v="24"/>
    <s v="861 Gonzales Lane, Bronx NY 10472"/>
    <x v="24"/>
    <x v="24"/>
    <x v="2"/>
    <s v="Yes"/>
    <s v="Yes"/>
    <s v="No"/>
    <s v="Yes"/>
    <s v="Yes"/>
    <s v="Yes"/>
    <s v="No"/>
    <x v="24"/>
    <x v="24"/>
    <x v="24"/>
    <x v="24"/>
    <x v="24"/>
    <x v="24"/>
  </r>
  <r>
    <x v="25"/>
    <s v="267 Randall Mill Dr, New York NY 10033"/>
    <x v="25"/>
    <x v="25"/>
    <x v="2"/>
    <s v="Yes"/>
    <s v="Yes"/>
    <s v="No"/>
    <s v="Yes"/>
    <s v="Yes"/>
    <s v="Yes"/>
    <s v="No"/>
    <x v="25"/>
    <x v="25"/>
    <x v="25"/>
    <x v="25"/>
    <x v="25"/>
    <x v="25"/>
  </r>
  <r>
    <x v="26"/>
    <s v="12 Lees Creek St, Brooklyn NY 11211"/>
    <x v="26"/>
    <x v="26"/>
    <x v="2"/>
    <s v="Yes"/>
    <s v="No"/>
    <s v="No"/>
    <s v="No"/>
    <s v="Yes"/>
    <s v="No"/>
    <s v="No"/>
    <x v="26"/>
    <x v="26"/>
    <x v="26"/>
    <x v="26"/>
    <x v="26"/>
    <x v="26"/>
  </r>
  <r>
    <x v="27"/>
    <s v="240 W. Manhattan St, Bronx NY 10462"/>
    <x v="27"/>
    <x v="27"/>
    <x v="2"/>
    <s v="Yes"/>
    <s v="Yes"/>
    <s v="No"/>
    <s v="Yes"/>
    <s v="Yes"/>
    <s v="Yes"/>
    <s v="No"/>
    <x v="27"/>
    <x v="27"/>
    <x v="27"/>
    <x v="27"/>
    <x v="27"/>
    <x v="27"/>
  </r>
  <r>
    <x v="28"/>
    <s v="62 Lower River Road, Staten Island, NY 10306"/>
    <x v="28"/>
    <x v="28"/>
    <x v="2"/>
    <s v="Yes"/>
    <s v="Yes"/>
    <s v="No"/>
    <s v="No"/>
    <s v="No"/>
    <s v="No"/>
    <s v="No"/>
    <x v="28"/>
    <x v="28"/>
    <x v="28"/>
    <x v="28"/>
    <x v="28"/>
    <x v="28"/>
  </r>
  <r>
    <x v="29"/>
    <s v="48 S. Brandywine St, New York NY 10002"/>
    <x v="29"/>
    <x v="29"/>
    <x v="2"/>
    <s v="Yes"/>
    <s v="Yes"/>
    <s v="No"/>
    <s v="Yes"/>
    <s v="No"/>
    <s v="Yes"/>
    <s v="No"/>
    <x v="29"/>
    <x v="29"/>
    <x v="29"/>
    <x v="29"/>
    <x v="29"/>
    <x v="29"/>
  </r>
  <r>
    <x v="30"/>
    <s v="5 Tallwood St, Brooklyn NY 11233"/>
    <x v="30"/>
    <x v="30"/>
    <x v="2"/>
    <s v="Yes"/>
    <s v="Yes"/>
    <s v="No"/>
    <s v="No"/>
    <s v="No"/>
    <s v="No"/>
    <s v="No"/>
    <x v="30"/>
    <x v="30"/>
    <x v="30"/>
    <x v="30"/>
    <x v="30"/>
    <x v="30"/>
  </r>
  <r>
    <x v="31"/>
    <s v="77 Stillwater St, Brooklyn NY 11213"/>
    <x v="31"/>
    <x v="31"/>
    <x v="3"/>
    <s v="Yes"/>
    <s v="Yes"/>
    <s v="Yes"/>
    <s v="No"/>
    <s v="No"/>
    <s v="Yes"/>
    <s v="No"/>
    <x v="31"/>
    <x v="31"/>
    <x v="31"/>
    <x v="31"/>
    <x v="31"/>
    <x v="31"/>
  </r>
  <r>
    <x v="32"/>
    <s v="7061 Bishop St, Yonkers NY 10701"/>
    <x v="32"/>
    <x v="32"/>
    <x v="3"/>
    <s v="Yes"/>
    <s v="Yes"/>
    <s v="Yes"/>
    <s v="Yes"/>
    <s v="Yes"/>
    <s v="Yes"/>
    <s v="No"/>
    <x v="32"/>
    <x v="32"/>
    <x v="32"/>
    <x v="32"/>
    <x v="32"/>
    <x v="32"/>
  </r>
  <r>
    <x v="33"/>
    <s v="7223 Cedarwood Ave, Brooklyn NY 11221"/>
    <x v="33"/>
    <x v="33"/>
    <x v="3"/>
    <s v="Yes"/>
    <s v="Yes"/>
    <s v="Yes"/>
    <s v="No"/>
    <s v="No"/>
    <s v="Yes"/>
    <s v="Yes"/>
    <x v="33"/>
    <x v="33"/>
    <x v="33"/>
    <x v="33"/>
    <x v="33"/>
    <x v="33"/>
  </r>
  <r>
    <x v="34"/>
    <s v="62 Lafayette Ave, Bronx NY 10462"/>
    <x v="34"/>
    <x v="34"/>
    <x v="3"/>
    <s v="Yes"/>
    <s v="Yes"/>
    <s v="Yes"/>
    <s v="No"/>
    <s v="No"/>
    <s v="Yes"/>
    <s v="Yes"/>
    <x v="34"/>
    <x v="34"/>
    <x v="34"/>
    <x v="34"/>
    <x v="34"/>
    <x v="34"/>
  </r>
  <r>
    <x v="35"/>
    <s v="7839 Elm St, Staten Island NY 10306"/>
    <x v="35"/>
    <x v="35"/>
    <x v="3"/>
    <s v="Yes"/>
    <s v="Yes"/>
    <s v="Yes"/>
    <s v="Yes"/>
    <s v="Yes"/>
    <s v="Yes"/>
    <s v="Yes"/>
    <x v="35"/>
    <x v="35"/>
    <x v="35"/>
    <x v="35"/>
    <x v="35"/>
    <x v="35"/>
  </r>
  <r>
    <x v="36"/>
    <s v="429 Stonybrook Dr, Brooklyn NY 11203"/>
    <x v="36"/>
    <x v="36"/>
    <x v="3"/>
    <s v="Yes"/>
    <s v="Yes"/>
    <s v="Yes"/>
    <s v="No"/>
    <s v="No"/>
    <s v="Yes"/>
    <s v="Yes"/>
    <x v="36"/>
    <x v="36"/>
    <x v="36"/>
    <x v="36"/>
    <x v="36"/>
    <x v="36"/>
  </r>
  <r>
    <x v="37"/>
    <s v="640 Beechwood Dr, Bronx NY 10461"/>
    <x v="37"/>
    <x v="37"/>
    <x v="3"/>
    <s v="Yes"/>
    <s v="Yes"/>
    <s v="Yes"/>
    <s v="Yes"/>
    <s v="Yes"/>
    <s v="Yes"/>
    <s v="Yes"/>
    <x v="37"/>
    <x v="37"/>
    <x v="37"/>
    <x v="37"/>
    <x v="37"/>
    <x v="37"/>
  </r>
  <r>
    <x v="38"/>
    <s v="9453 N. Wagon Lane, Brooklyn NY 11237"/>
    <x v="38"/>
    <x v="38"/>
    <x v="3"/>
    <s v="Yes"/>
    <s v="No"/>
    <s v="No"/>
    <s v="No"/>
    <s v="No"/>
    <s v="Yes"/>
    <s v="Yes"/>
    <x v="38"/>
    <x v="38"/>
    <x v="38"/>
    <x v="38"/>
    <x v="38"/>
    <x v="38"/>
  </r>
  <r>
    <x v="39"/>
    <s v="81 San Carlos Road, Bronx NY 10463"/>
    <x v="39"/>
    <x v="39"/>
    <x v="3"/>
    <s v="Yes"/>
    <s v="Yes"/>
    <s v="Yes"/>
    <s v="Yes"/>
    <s v="Yes"/>
    <s v="Yes"/>
    <s v="Yes"/>
    <x v="39"/>
    <x v="39"/>
    <x v="39"/>
    <x v="39"/>
    <x v="39"/>
    <x v="39"/>
  </r>
  <r>
    <x v="40"/>
    <s v="596 Coffee St, Bronx NY 10472"/>
    <x v="40"/>
    <x v="40"/>
    <x v="3"/>
    <s v="Yes"/>
    <s v="Yes"/>
    <s v="Yes"/>
    <s v="Yes"/>
    <s v="Yes"/>
    <s v="Yes"/>
    <s v="Yes"/>
    <x v="40"/>
    <x v="40"/>
    <x v="40"/>
    <x v="40"/>
    <x v="40"/>
    <x v="40"/>
  </r>
  <r>
    <x v="41"/>
    <s v="92 Princess St, New York NY 10033"/>
    <x v="41"/>
    <x v="41"/>
    <x v="3"/>
    <s v="Yes"/>
    <s v="No"/>
    <s v="No"/>
    <s v="No"/>
    <s v="No"/>
    <s v="Yes"/>
    <s v="Yes"/>
    <x v="41"/>
    <x v="41"/>
    <x v="41"/>
    <x v="41"/>
    <x v="41"/>
    <x v="41"/>
  </r>
  <r>
    <x v="42"/>
    <s v="9151 River St, Brooklyn NY 11230"/>
    <x v="42"/>
    <x v="42"/>
    <x v="3"/>
    <s v="Yes"/>
    <s v="Yes"/>
    <s v="Yes"/>
    <s v="Yes"/>
    <s v="Yes"/>
    <s v="Yes"/>
    <s v="Yes"/>
    <x v="42"/>
    <x v="42"/>
    <x v="42"/>
    <x v="42"/>
    <x v="42"/>
    <x v="42"/>
  </r>
  <r>
    <x v="43"/>
    <s v="424 Hall Ave, New York NY 10128"/>
    <x v="43"/>
    <x v="43"/>
    <x v="3"/>
    <s v="Yes"/>
    <s v="Yes"/>
    <s v="No"/>
    <s v="No"/>
    <s v="No"/>
    <s v="No"/>
    <s v="No"/>
    <x v="43"/>
    <x v="43"/>
    <x v="43"/>
    <x v="43"/>
    <x v="43"/>
    <x v="43"/>
  </r>
  <r>
    <x v="44"/>
    <s v="81 Crescent St, Brooklyn NY 11210"/>
    <x v="44"/>
    <x v="44"/>
    <x v="3"/>
    <s v="Yes"/>
    <s v="Yes"/>
    <s v="Yes"/>
    <s v="Yes"/>
    <s v="No"/>
    <s v="No"/>
    <s v="No"/>
    <x v="44"/>
    <x v="44"/>
    <x v="44"/>
    <x v="44"/>
    <x v="44"/>
    <x v="44"/>
  </r>
  <r>
    <x v="45"/>
    <s v="7217 Birch Hill Dr, New York NY 10009"/>
    <x v="45"/>
    <x v="45"/>
    <x v="3"/>
    <s v="Yes"/>
    <s v="Yes"/>
    <s v="Yes"/>
    <s v="Yes"/>
    <s v="Yes"/>
    <s v="No"/>
    <s v="No"/>
    <x v="45"/>
    <x v="45"/>
    <x v="45"/>
    <x v="45"/>
    <x v="45"/>
    <x v="45"/>
  </r>
  <r>
    <x v="46"/>
    <s v="7184 Center Court, Brooklyn NY 11208"/>
    <x v="46"/>
    <x v="46"/>
    <x v="4"/>
    <s v="Yes"/>
    <s v="No"/>
    <s v="No"/>
    <s v="No"/>
    <s v="No"/>
    <s v="Yes"/>
    <s v="No"/>
    <x v="46"/>
    <x v="46"/>
    <x v="46"/>
    <x v="46"/>
    <x v="46"/>
    <x v="46"/>
  </r>
  <r>
    <x v="47"/>
    <s v="815 2nd St, New York NY 10028"/>
    <x v="47"/>
    <x v="47"/>
    <x v="4"/>
    <s v="Yes"/>
    <s v="Yes"/>
    <s v="Yes"/>
    <s v="No"/>
    <s v="No"/>
    <s v="Yes"/>
    <s v="No"/>
    <x v="47"/>
    <x v="47"/>
    <x v="47"/>
    <x v="47"/>
    <x v="47"/>
    <x v="47"/>
  </r>
  <r>
    <x v="48"/>
    <s v="9875 Franklin Rd, Brooklyn NY 11223"/>
    <x v="48"/>
    <x v="48"/>
    <x v="4"/>
    <s v="Yes"/>
    <s v="Yes"/>
    <s v="Yes"/>
    <s v="No"/>
    <s v="No"/>
    <s v="Yes"/>
    <s v="No"/>
    <x v="48"/>
    <x v="48"/>
    <x v="48"/>
    <x v="48"/>
    <x v="48"/>
    <x v="48"/>
  </r>
  <r>
    <x v="49"/>
    <s v="601 Bank Ave, Brooklyn NY 11218"/>
    <x v="49"/>
    <x v="49"/>
    <x v="4"/>
    <s v="Yes"/>
    <s v="No"/>
    <s v="No"/>
    <s v="No"/>
    <s v="No"/>
    <s v="Yes"/>
    <s v="No"/>
    <x v="49"/>
    <x v="49"/>
    <x v="49"/>
    <x v="49"/>
    <x v="49"/>
    <x v="49"/>
  </r>
  <r>
    <x v="50"/>
    <s v="21 Yukon St, Bronx NY 10451"/>
    <x v="50"/>
    <x v="50"/>
    <x v="4"/>
    <s v="Yes"/>
    <s v="Yes"/>
    <s v="Yes"/>
    <s v="No"/>
    <s v="No"/>
    <s v="Yes"/>
    <s v="No"/>
    <x v="50"/>
    <x v="50"/>
    <x v="50"/>
    <x v="50"/>
    <x v="50"/>
    <x v="50"/>
  </r>
  <r>
    <x v="51"/>
    <s v="18 N. Woodland Ave, New York NY 10025"/>
    <x v="51"/>
    <x v="51"/>
    <x v="4"/>
    <s v="Yes"/>
    <s v="Yes"/>
    <s v="Yes"/>
    <s v="No"/>
    <s v="No"/>
    <s v="Yes"/>
    <s v="No"/>
    <x v="51"/>
    <x v="51"/>
    <x v="51"/>
    <x v="51"/>
    <x v="51"/>
    <x v="51"/>
  </r>
  <r>
    <x v="52"/>
    <s v="65 Lower River Ave, Bronx NY 10465"/>
    <x v="52"/>
    <x v="52"/>
    <x v="4"/>
    <s v="Yes"/>
    <s v="Yes"/>
    <s v="Yes"/>
    <s v="No"/>
    <s v="No"/>
    <s v="Yes"/>
    <s v="No"/>
    <x v="52"/>
    <x v="52"/>
    <x v="52"/>
    <x v="52"/>
    <x v="52"/>
    <x v="52"/>
  </r>
  <r>
    <x v="53"/>
    <s v="8680 Alderwood St, New York NY 10032"/>
    <x v="53"/>
    <x v="53"/>
    <x v="4"/>
    <s v="Yes"/>
    <s v="Yes"/>
    <s v="No"/>
    <s v="No"/>
    <s v="No"/>
    <s v="Yes"/>
    <s v="No"/>
    <x v="53"/>
    <x v="53"/>
    <x v="53"/>
    <x v="53"/>
    <x v="53"/>
    <x v="53"/>
  </r>
  <r>
    <x v="54"/>
    <s v="8388 Gonzales St, Brooklyn NY 11228"/>
    <x v="54"/>
    <x v="54"/>
    <x v="4"/>
    <s v="Yes"/>
    <s v="Yes"/>
    <s v="Yes"/>
    <s v="No"/>
    <s v="No"/>
    <s v="Yes"/>
    <s v="No"/>
    <x v="54"/>
    <x v="54"/>
    <x v="54"/>
    <x v="54"/>
    <x v="54"/>
    <x v="54"/>
  </r>
  <r>
    <x v="55"/>
    <s v="9760 Taylor Dr, Brooklyn NY 11211"/>
    <x v="55"/>
    <x v="55"/>
    <x v="4"/>
    <s v="Yes"/>
    <s v="No"/>
    <s v="No"/>
    <s v="No"/>
    <s v="No"/>
    <s v="Yes"/>
    <s v="No"/>
    <x v="55"/>
    <x v="55"/>
    <x v="55"/>
    <x v="55"/>
    <x v="55"/>
    <x v="55"/>
  </r>
  <r>
    <x v="56"/>
    <s v="419 E. Henry Ave, New York NY 10031"/>
    <x v="56"/>
    <x v="56"/>
    <x v="4"/>
    <s v="Yes"/>
    <s v="Yes"/>
    <s v="Yes"/>
    <s v="No"/>
    <s v="No"/>
    <s v="Yes"/>
    <s v="No"/>
    <x v="56"/>
    <x v="56"/>
    <x v="56"/>
    <x v="56"/>
    <x v="56"/>
    <x v="56"/>
  </r>
  <r>
    <x v="57"/>
    <s v="8083 8th St, Brooklyn NY 11209"/>
    <x v="57"/>
    <x v="57"/>
    <x v="4"/>
    <s v="Yes"/>
    <s v="No"/>
    <s v="No"/>
    <s v="No"/>
    <s v="No"/>
    <s v="No"/>
    <s v="No"/>
    <x v="57"/>
    <x v="57"/>
    <x v="57"/>
    <x v="57"/>
    <x v="57"/>
    <x v="57"/>
  </r>
  <r>
    <x v="58"/>
    <s v="2 Rock Maple Ave, New York NY 10029"/>
    <x v="58"/>
    <x v="58"/>
    <x v="4"/>
    <s v="Yes"/>
    <s v="Yes"/>
    <s v="Yes"/>
    <s v="No"/>
    <s v="No"/>
    <s v="No"/>
    <s v="No"/>
    <x v="58"/>
    <x v="58"/>
    <x v="58"/>
    <x v="58"/>
    <x v="58"/>
    <x v="58"/>
  </r>
  <r>
    <x v="59"/>
    <s v="9577 Nicolls Ave, Staten Island NY 10312"/>
    <x v="59"/>
    <x v="59"/>
    <x v="4"/>
    <s v="Yes"/>
    <s v="Yes"/>
    <s v="Yes"/>
    <s v="No"/>
    <s v="No"/>
    <s v="No"/>
    <s v="No"/>
    <x v="59"/>
    <x v="59"/>
    <x v="59"/>
    <x v="59"/>
    <x v="59"/>
    <x v="59"/>
  </r>
  <r>
    <x v="60"/>
    <s v="174 Del Monte St, Brooklyn NY 11224"/>
    <x v="60"/>
    <x v="60"/>
    <x v="4"/>
    <s v="Yes"/>
    <s v="Yes"/>
    <s v="Yes"/>
    <s v="No"/>
    <s v="No"/>
    <s v="No"/>
    <s v="No"/>
    <x v="60"/>
    <x v="60"/>
    <x v="60"/>
    <x v="60"/>
    <x v="60"/>
    <x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133F5-E57A-4692-97FE-86313F52FD8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F65" firstHeaderRow="0" firstDataRow="1" firstDataCol="1"/>
  <pivotFields count="18">
    <pivotField showAll="0"/>
    <pivotField showAll="0"/>
    <pivotField axis="axisRow" showAll="0">
      <items count="62">
        <item x="50"/>
        <item x="60"/>
        <item x="43"/>
        <item x="21"/>
        <item x="20"/>
        <item x="34"/>
        <item x="56"/>
        <item x="41"/>
        <item x="22"/>
        <item x="18"/>
        <item x="47"/>
        <item x="16"/>
        <item x="54"/>
        <item x="45"/>
        <item x="14"/>
        <item x="28"/>
        <item x="0"/>
        <item x="29"/>
        <item x="39"/>
        <item x="48"/>
        <item x="1"/>
        <item x="11"/>
        <item x="53"/>
        <item x="10"/>
        <item x="33"/>
        <item x="17"/>
        <item x="12"/>
        <item x="55"/>
        <item x="31"/>
        <item x="37"/>
        <item x="8"/>
        <item x="19"/>
        <item x="30"/>
        <item x="25"/>
        <item x="15"/>
        <item x="59"/>
        <item x="38"/>
        <item x="40"/>
        <item x="2"/>
        <item x="35"/>
        <item x="7"/>
        <item x="44"/>
        <item x="27"/>
        <item x="24"/>
        <item x="23"/>
        <item x="51"/>
        <item x="32"/>
        <item x="46"/>
        <item x="26"/>
        <item x="6"/>
        <item x="57"/>
        <item x="58"/>
        <item x="5"/>
        <item x="42"/>
        <item x="36"/>
        <item x="4"/>
        <item x="49"/>
        <item x="52"/>
        <item x="13"/>
        <item x="9"/>
        <item x="3"/>
        <item t="default"/>
      </items>
    </pivotField>
    <pivotField showAll="0"/>
    <pivotField showAll="0"/>
    <pivotField showAll="0"/>
    <pivotField showAll="0"/>
    <pivotField showAll="0"/>
    <pivotField showAll="0"/>
    <pivotField showAll="0"/>
    <pivotField showAll="0"/>
    <pivotField showAll="0"/>
    <pivotField dataField="1" showAll="0">
      <items count="62">
        <item x="13"/>
        <item x="20"/>
        <item x="56"/>
        <item x="32"/>
        <item x="27"/>
        <item x="21"/>
        <item x="47"/>
        <item x="40"/>
        <item x="45"/>
        <item x="39"/>
        <item x="25"/>
        <item x="55"/>
        <item x="18"/>
        <item x="29"/>
        <item x="37"/>
        <item x="14"/>
        <item x="50"/>
        <item x="4"/>
        <item x="60"/>
        <item x="59"/>
        <item x="42"/>
        <item x="52"/>
        <item x="35"/>
        <item x="3"/>
        <item x="58"/>
        <item x="44"/>
        <item x="48"/>
        <item x="54"/>
        <item x="22"/>
        <item x="5"/>
        <item x="51"/>
        <item x="10"/>
        <item x="12"/>
        <item x="8"/>
        <item x="24"/>
        <item x="1"/>
        <item x="0"/>
        <item x="6"/>
        <item x="30"/>
        <item x="31"/>
        <item x="36"/>
        <item x="2"/>
        <item x="34"/>
        <item x="16"/>
        <item x="17"/>
        <item x="26"/>
        <item x="28"/>
        <item x="11"/>
        <item x="38"/>
        <item x="41"/>
        <item x="57"/>
        <item x="46"/>
        <item x="23"/>
        <item x="49"/>
        <item x="33"/>
        <item x="43"/>
        <item x="15"/>
        <item x="7"/>
        <item x="9"/>
        <item x="19"/>
        <item x="53"/>
        <item t="default"/>
      </items>
    </pivotField>
    <pivotField dataField="1" showAll="0">
      <items count="62">
        <item x="32"/>
        <item x="56"/>
        <item x="27"/>
        <item x="47"/>
        <item x="40"/>
        <item x="21"/>
        <item x="46"/>
        <item x="4"/>
        <item x="14"/>
        <item x="25"/>
        <item x="3"/>
        <item x="10"/>
        <item x="51"/>
        <item x="13"/>
        <item x="5"/>
        <item x="0"/>
        <item x="24"/>
        <item x="60"/>
        <item x="30"/>
        <item x="50"/>
        <item x="58"/>
        <item x="55"/>
        <item x="12"/>
        <item x="35"/>
        <item x="52"/>
        <item x="22"/>
        <item x="20"/>
        <item x="42"/>
        <item x="37"/>
        <item x="36"/>
        <item x="2"/>
        <item x="59"/>
        <item x="31"/>
        <item x="44"/>
        <item x="49"/>
        <item x="29"/>
        <item x="54"/>
        <item x="17"/>
        <item x="8"/>
        <item x="15"/>
        <item x="34"/>
        <item x="48"/>
        <item x="1"/>
        <item x="39"/>
        <item x="18"/>
        <item x="41"/>
        <item x="43"/>
        <item x="6"/>
        <item x="26"/>
        <item x="28"/>
        <item x="45"/>
        <item x="57"/>
        <item x="11"/>
        <item x="38"/>
        <item x="16"/>
        <item x="23"/>
        <item x="9"/>
        <item x="33"/>
        <item x="7"/>
        <item x="19"/>
        <item x="53"/>
        <item t="default"/>
      </items>
    </pivotField>
    <pivotField dataField="1" showAll="0">
      <items count="62">
        <item x="56"/>
        <item x="46"/>
        <item x="7"/>
        <item x="3"/>
        <item x="14"/>
        <item x="21"/>
        <item x="0"/>
        <item x="10"/>
        <item x="5"/>
        <item x="49"/>
        <item x="51"/>
        <item x="24"/>
        <item x="4"/>
        <item x="27"/>
        <item x="57"/>
        <item x="30"/>
        <item x="13"/>
        <item x="55"/>
        <item x="42"/>
        <item x="38"/>
        <item x="36"/>
        <item x="12"/>
        <item x="2"/>
        <item x="35"/>
        <item x="41"/>
        <item x="40"/>
        <item x="37"/>
        <item x="59"/>
        <item x="60"/>
        <item x="22"/>
        <item x="20"/>
        <item x="15"/>
        <item x="34"/>
        <item x="17"/>
        <item x="28"/>
        <item x="11"/>
        <item x="31"/>
        <item x="54"/>
        <item x="9"/>
        <item x="39"/>
        <item x="26"/>
        <item x="43"/>
        <item x="23"/>
        <item x="29"/>
        <item x="47"/>
        <item x="18"/>
        <item x="48"/>
        <item x="52"/>
        <item x="8"/>
        <item x="32"/>
        <item x="44"/>
        <item x="1"/>
        <item x="25"/>
        <item x="50"/>
        <item x="16"/>
        <item x="45"/>
        <item x="53"/>
        <item x="6"/>
        <item x="33"/>
        <item x="58"/>
        <item x="19"/>
        <item t="default"/>
      </items>
    </pivotField>
    <pivotField dataField="1" showAll="0">
      <items count="62">
        <item x="46"/>
        <item x="7"/>
        <item x="56"/>
        <item x="26"/>
        <item x="38"/>
        <item x="23"/>
        <item x="0"/>
        <item x="49"/>
        <item x="57"/>
        <item x="11"/>
        <item x="13"/>
        <item x="30"/>
        <item x="15"/>
        <item x="41"/>
        <item x="12"/>
        <item x="3"/>
        <item x="35"/>
        <item x="5"/>
        <item x="4"/>
        <item x="10"/>
        <item x="28"/>
        <item x="55"/>
        <item x="53"/>
        <item x="20"/>
        <item x="17"/>
        <item x="9"/>
        <item x="43"/>
        <item x="22"/>
        <item x="59"/>
        <item x="51"/>
        <item x="42"/>
        <item x="2"/>
        <item x="54"/>
        <item x="14"/>
        <item x="48"/>
        <item x="60"/>
        <item x="40"/>
        <item x="24"/>
        <item x="21"/>
        <item x="27"/>
        <item x="1"/>
        <item x="16"/>
        <item x="29"/>
        <item x="33"/>
        <item x="39"/>
        <item x="6"/>
        <item x="44"/>
        <item x="45"/>
        <item x="31"/>
        <item x="58"/>
        <item x="32"/>
        <item x="19"/>
        <item x="25"/>
        <item x="34"/>
        <item x="18"/>
        <item x="52"/>
        <item x="37"/>
        <item x="36"/>
        <item x="50"/>
        <item x="47"/>
        <item x="8"/>
        <item t="default"/>
      </items>
    </pivotField>
    <pivotField dataField="1" showAll="0">
      <items count="62">
        <item x="46"/>
        <item x="7"/>
        <item x="15"/>
        <item x="23"/>
        <item x="41"/>
        <item x="26"/>
        <item x="38"/>
        <item x="49"/>
        <item x="0"/>
        <item x="11"/>
        <item x="9"/>
        <item x="57"/>
        <item x="19"/>
        <item x="28"/>
        <item x="43"/>
        <item x="30"/>
        <item x="53"/>
        <item x="55"/>
        <item x="12"/>
        <item x="5"/>
        <item x="10"/>
        <item x="56"/>
        <item x="59"/>
        <item x="33"/>
        <item x="2"/>
        <item x="40"/>
        <item x="17"/>
        <item x="60"/>
        <item x="20"/>
        <item x="48"/>
        <item x="21"/>
        <item x="45"/>
        <item x="27"/>
        <item x="13"/>
        <item x="29"/>
        <item x="32"/>
        <item x="6"/>
        <item x="31"/>
        <item x="44"/>
        <item x="47"/>
        <item x="1"/>
        <item x="39"/>
        <item x="16"/>
        <item x="18"/>
        <item x="14"/>
        <item x="52"/>
        <item x="36"/>
        <item x="4"/>
        <item x="35"/>
        <item x="24"/>
        <item x="25"/>
        <item x="34"/>
        <item x="42"/>
        <item x="54"/>
        <item x="58"/>
        <item x="8"/>
        <item x="50"/>
        <item x="3"/>
        <item x="51"/>
        <item x="37"/>
        <item x="22"/>
        <item t="default"/>
      </items>
    </pivotField>
    <pivotField showAll="0">
      <items count="62">
        <item x="46"/>
        <item x="7"/>
        <item x="15"/>
        <item x="23"/>
        <item x="41"/>
        <item x="26"/>
        <item x="38"/>
        <item x="49"/>
        <item x="9"/>
        <item x="11"/>
        <item x="57"/>
        <item x="19"/>
        <item x="43"/>
        <item x="53"/>
        <item x="28"/>
        <item x="33"/>
        <item x="17"/>
        <item x="30"/>
        <item x="2"/>
        <item x="16"/>
        <item x="34"/>
        <item x="31"/>
        <item x="12"/>
        <item x="36"/>
        <item x="6"/>
        <item x="10"/>
        <item x="5"/>
        <item x="1"/>
        <item x="24"/>
        <item x="8"/>
        <item x="48"/>
        <item x="59"/>
        <item x="51"/>
        <item x="44"/>
        <item x="54"/>
        <item x="22"/>
        <item x="60"/>
        <item x="58"/>
        <item x="3"/>
        <item x="52"/>
        <item x="35"/>
        <item x="55"/>
        <item x="42"/>
        <item x="4"/>
        <item x="14"/>
        <item x="50"/>
        <item x="29"/>
        <item x="18"/>
        <item x="37"/>
        <item x="25"/>
        <item x="39"/>
        <item x="45"/>
        <item x="40"/>
        <item x="47"/>
        <item x="21"/>
        <item x="27"/>
        <item x="56"/>
        <item x="32"/>
        <item x="20"/>
        <item x="13"/>
        <item x="0"/>
        <item t="default"/>
      </items>
    </pivotField>
  </pivotFields>
  <rowFields count="1">
    <field x="2"/>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2"/>
  </colFields>
  <colItems count="5">
    <i>
      <x/>
    </i>
    <i i="1">
      <x v="1"/>
    </i>
    <i i="2">
      <x v="2"/>
    </i>
    <i i="3">
      <x v="3"/>
    </i>
    <i i="4">
      <x v="4"/>
    </i>
  </colItems>
  <dataFields count="5">
    <dataField name="Sum of Product 1 Sales Volume (units)" fld="12" baseField="0" baseItem="0"/>
    <dataField name="Sum of Column11" fld="13" baseField="0" baseItem="0"/>
    <dataField name="Sum of Column12" fld="14" baseField="0" baseItem="0"/>
    <dataField name="Sum of Column13" fld="15" baseField="0" baseItem="0"/>
    <dataField name="Sum of Column14" fld="16" baseField="0" baseItem="0"/>
  </dataFields>
  <formats count="14">
    <format dxfId="3">
      <pivotArea type="all" dataOnly="0" outline="0" fieldPosition="0"/>
    </format>
    <format dxfId="4">
      <pivotArea outline="0" collapsedLevelsAreSubtotals="1" fieldPosition="0"/>
    </format>
    <format dxfId="5">
      <pivotArea field="2" type="button" dataOnly="0" labelOnly="1" outline="0" axis="axisRow" fieldPosition="0"/>
    </format>
    <format dxfId="6">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
      <pivotArea dataOnly="0" labelOnly="1" fieldPosition="0">
        <references count="1">
          <reference field="2" count="11">
            <x v="50"/>
            <x v="51"/>
            <x v="52"/>
            <x v="53"/>
            <x v="54"/>
            <x v="55"/>
            <x v="56"/>
            <x v="57"/>
            <x v="58"/>
            <x v="59"/>
            <x v="60"/>
          </reference>
        </references>
      </pivotArea>
    </format>
    <format dxfId="8">
      <pivotArea dataOnly="0" labelOnly="1" grandRow="1" outline="0" fieldPosition="0"/>
    </format>
    <format dxfId="9">
      <pivotArea dataOnly="0" labelOnly="1" outline="0" fieldPosition="0">
        <references count="1">
          <reference field="4294967294" count="5">
            <x v="0"/>
            <x v="1"/>
            <x v="2"/>
            <x v="3"/>
            <x v="4"/>
          </reference>
        </references>
      </pivotArea>
    </format>
    <format dxfId="10">
      <pivotArea type="all" dataOnly="0" outline="0" fieldPosition="0"/>
    </format>
    <format dxfId="11">
      <pivotArea outline="0" collapsedLevelsAreSubtotals="1" fieldPosition="0"/>
    </format>
    <format dxfId="12">
      <pivotArea field="2" type="button" dataOnly="0" labelOnly="1" outline="0" axis="axisRow" fieldPosition="0"/>
    </format>
    <format dxfId="13">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
      <pivotArea dataOnly="0" labelOnly="1" fieldPosition="0">
        <references count="1">
          <reference field="2" count="11">
            <x v="50"/>
            <x v="51"/>
            <x v="52"/>
            <x v="53"/>
            <x v="54"/>
            <x v="55"/>
            <x v="56"/>
            <x v="57"/>
            <x v="58"/>
            <x v="59"/>
            <x v="60"/>
          </reference>
        </references>
      </pivotArea>
    </format>
    <format dxfId="15">
      <pivotArea dataOnly="0" labelOnly="1" grandRow="1" outline="0" fieldPosition="0"/>
    </format>
    <format dxfId="16">
      <pivotArea dataOnly="0" labelOnly="1" outline="0" fieldPosition="0">
        <references count="1">
          <reference field="4294967294" count="5">
            <x v="0"/>
            <x v="1"/>
            <x v="2"/>
            <x v="3"/>
            <x v="4"/>
          </reference>
        </references>
      </pivotArea>
    </format>
  </formats>
  <chartFormats count="66">
    <chartFormat chart="0" format="1111" series="1">
      <pivotArea type="data" outline="0" fieldPosition="0">
        <references count="1">
          <reference field="2" count="1" selected="0">
            <x v="0"/>
          </reference>
        </references>
      </pivotArea>
    </chartFormat>
    <chartFormat chart="0" format="1112" series="1">
      <pivotArea type="data" outline="0" fieldPosition="0">
        <references count="1">
          <reference field="2" count="1" selected="0">
            <x v="1"/>
          </reference>
        </references>
      </pivotArea>
    </chartFormat>
    <chartFormat chart="0" format="1113" series="1">
      <pivotArea type="data" outline="0" fieldPosition="0">
        <references count="1">
          <reference field="2" count="1" selected="0">
            <x v="2"/>
          </reference>
        </references>
      </pivotArea>
    </chartFormat>
    <chartFormat chart="0" format="1114" series="1">
      <pivotArea type="data" outline="0" fieldPosition="0">
        <references count="1">
          <reference field="2" count="1" selected="0">
            <x v="3"/>
          </reference>
        </references>
      </pivotArea>
    </chartFormat>
    <chartFormat chart="0" format="1115" series="1">
      <pivotArea type="data" outline="0" fieldPosition="0">
        <references count="1">
          <reference field="2" count="1" selected="0">
            <x v="4"/>
          </reference>
        </references>
      </pivotArea>
    </chartFormat>
    <chartFormat chart="0" format="1116" series="1">
      <pivotArea type="data" outline="0" fieldPosition="0">
        <references count="1">
          <reference field="2" count="1" selected="0">
            <x v="5"/>
          </reference>
        </references>
      </pivotArea>
    </chartFormat>
    <chartFormat chart="0" format="1117" series="1">
      <pivotArea type="data" outline="0" fieldPosition="0">
        <references count="1">
          <reference field="2" count="1" selected="0">
            <x v="6"/>
          </reference>
        </references>
      </pivotArea>
    </chartFormat>
    <chartFormat chart="0" format="1118" series="1">
      <pivotArea type="data" outline="0" fieldPosition="0">
        <references count="1">
          <reference field="2" count="1" selected="0">
            <x v="7"/>
          </reference>
        </references>
      </pivotArea>
    </chartFormat>
    <chartFormat chart="0" format="1119" series="1">
      <pivotArea type="data" outline="0" fieldPosition="0">
        <references count="1">
          <reference field="2" count="1" selected="0">
            <x v="8"/>
          </reference>
        </references>
      </pivotArea>
    </chartFormat>
    <chartFormat chart="0" format="1120" series="1">
      <pivotArea type="data" outline="0" fieldPosition="0">
        <references count="1">
          <reference field="2" count="1" selected="0">
            <x v="9"/>
          </reference>
        </references>
      </pivotArea>
    </chartFormat>
    <chartFormat chart="0" format="1121" series="1">
      <pivotArea type="data" outline="0" fieldPosition="0">
        <references count="1">
          <reference field="2" count="1" selected="0">
            <x v="10"/>
          </reference>
        </references>
      </pivotArea>
    </chartFormat>
    <chartFormat chart="0" format="1122" series="1">
      <pivotArea type="data" outline="0" fieldPosition="0">
        <references count="1">
          <reference field="2" count="1" selected="0">
            <x v="11"/>
          </reference>
        </references>
      </pivotArea>
    </chartFormat>
    <chartFormat chart="0" format="1123" series="1">
      <pivotArea type="data" outline="0" fieldPosition="0">
        <references count="1">
          <reference field="2" count="1" selected="0">
            <x v="12"/>
          </reference>
        </references>
      </pivotArea>
    </chartFormat>
    <chartFormat chart="0" format="1124" series="1">
      <pivotArea type="data" outline="0" fieldPosition="0">
        <references count="1">
          <reference field="2" count="1" selected="0">
            <x v="13"/>
          </reference>
        </references>
      </pivotArea>
    </chartFormat>
    <chartFormat chart="0" format="1125" series="1">
      <pivotArea type="data" outline="0" fieldPosition="0">
        <references count="1">
          <reference field="2" count="1" selected="0">
            <x v="14"/>
          </reference>
        </references>
      </pivotArea>
    </chartFormat>
    <chartFormat chart="0" format="1126" series="1">
      <pivotArea type="data" outline="0" fieldPosition="0">
        <references count="1">
          <reference field="2" count="1" selected="0">
            <x v="15"/>
          </reference>
        </references>
      </pivotArea>
    </chartFormat>
    <chartFormat chart="0" format="1127" series="1">
      <pivotArea type="data" outline="0" fieldPosition="0">
        <references count="1">
          <reference field="2" count="1" selected="0">
            <x v="16"/>
          </reference>
        </references>
      </pivotArea>
    </chartFormat>
    <chartFormat chart="0" format="1128" series="1">
      <pivotArea type="data" outline="0" fieldPosition="0">
        <references count="1">
          <reference field="2" count="1" selected="0">
            <x v="17"/>
          </reference>
        </references>
      </pivotArea>
    </chartFormat>
    <chartFormat chart="0" format="1129" series="1">
      <pivotArea type="data" outline="0" fieldPosition="0">
        <references count="1">
          <reference field="2" count="1" selected="0">
            <x v="18"/>
          </reference>
        </references>
      </pivotArea>
    </chartFormat>
    <chartFormat chart="0" format="1130" series="1">
      <pivotArea type="data" outline="0" fieldPosition="0">
        <references count="1">
          <reference field="2" count="1" selected="0">
            <x v="19"/>
          </reference>
        </references>
      </pivotArea>
    </chartFormat>
    <chartFormat chart="0" format="1131" series="1">
      <pivotArea type="data" outline="0" fieldPosition="0">
        <references count="1">
          <reference field="2" count="1" selected="0">
            <x v="20"/>
          </reference>
        </references>
      </pivotArea>
    </chartFormat>
    <chartFormat chart="0" format="1132" series="1">
      <pivotArea type="data" outline="0" fieldPosition="0">
        <references count="1">
          <reference field="2" count="1" selected="0">
            <x v="21"/>
          </reference>
        </references>
      </pivotArea>
    </chartFormat>
    <chartFormat chart="0" format="1133" series="1">
      <pivotArea type="data" outline="0" fieldPosition="0">
        <references count="1">
          <reference field="2" count="1" selected="0">
            <x v="22"/>
          </reference>
        </references>
      </pivotArea>
    </chartFormat>
    <chartFormat chart="0" format="1134" series="1">
      <pivotArea type="data" outline="0" fieldPosition="0">
        <references count="1">
          <reference field="2" count="1" selected="0">
            <x v="23"/>
          </reference>
        </references>
      </pivotArea>
    </chartFormat>
    <chartFormat chart="0" format="1135" series="1">
      <pivotArea type="data" outline="0" fieldPosition="0">
        <references count="1">
          <reference field="2" count="1" selected="0">
            <x v="24"/>
          </reference>
        </references>
      </pivotArea>
    </chartFormat>
    <chartFormat chart="0" format="1136" series="1">
      <pivotArea type="data" outline="0" fieldPosition="0">
        <references count="1">
          <reference field="2" count="1" selected="0">
            <x v="25"/>
          </reference>
        </references>
      </pivotArea>
    </chartFormat>
    <chartFormat chart="0" format="1137" series="1">
      <pivotArea type="data" outline="0" fieldPosition="0">
        <references count="1">
          <reference field="2" count="1" selected="0">
            <x v="26"/>
          </reference>
        </references>
      </pivotArea>
    </chartFormat>
    <chartFormat chart="0" format="1138" series="1">
      <pivotArea type="data" outline="0" fieldPosition="0">
        <references count="1">
          <reference field="2" count="1" selected="0">
            <x v="27"/>
          </reference>
        </references>
      </pivotArea>
    </chartFormat>
    <chartFormat chart="0" format="1139" series="1">
      <pivotArea type="data" outline="0" fieldPosition="0">
        <references count="1">
          <reference field="2" count="1" selected="0">
            <x v="28"/>
          </reference>
        </references>
      </pivotArea>
    </chartFormat>
    <chartFormat chart="0" format="1140" series="1">
      <pivotArea type="data" outline="0" fieldPosition="0">
        <references count="1">
          <reference field="2" count="1" selected="0">
            <x v="29"/>
          </reference>
        </references>
      </pivotArea>
    </chartFormat>
    <chartFormat chart="0" format="1141" series="1">
      <pivotArea type="data" outline="0" fieldPosition="0">
        <references count="1">
          <reference field="2" count="1" selected="0">
            <x v="30"/>
          </reference>
        </references>
      </pivotArea>
    </chartFormat>
    <chartFormat chart="0" format="1142" series="1">
      <pivotArea type="data" outline="0" fieldPosition="0">
        <references count="1">
          <reference field="2" count="1" selected="0">
            <x v="31"/>
          </reference>
        </references>
      </pivotArea>
    </chartFormat>
    <chartFormat chart="0" format="1143" series="1">
      <pivotArea type="data" outline="0" fieldPosition="0">
        <references count="1">
          <reference field="2" count="1" selected="0">
            <x v="32"/>
          </reference>
        </references>
      </pivotArea>
    </chartFormat>
    <chartFormat chart="0" format="1144" series="1">
      <pivotArea type="data" outline="0" fieldPosition="0">
        <references count="1">
          <reference field="2" count="1" selected="0">
            <x v="33"/>
          </reference>
        </references>
      </pivotArea>
    </chartFormat>
    <chartFormat chart="0" format="1145" series="1">
      <pivotArea type="data" outline="0" fieldPosition="0">
        <references count="1">
          <reference field="2" count="1" selected="0">
            <x v="34"/>
          </reference>
        </references>
      </pivotArea>
    </chartFormat>
    <chartFormat chart="0" format="1146" series="1">
      <pivotArea type="data" outline="0" fieldPosition="0">
        <references count="1">
          <reference field="2" count="1" selected="0">
            <x v="35"/>
          </reference>
        </references>
      </pivotArea>
    </chartFormat>
    <chartFormat chart="0" format="1147" series="1">
      <pivotArea type="data" outline="0" fieldPosition="0">
        <references count="1">
          <reference field="2" count="1" selected="0">
            <x v="36"/>
          </reference>
        </references>
      </pivotArea>
    </chartFormat>
    <chartFormat chart="0" format="1148" series="1">
      <pivotArea type="data" outline="0" fieldPosition="0">
        <references count="1">
          <reference field="2" count="1" selected="0">
            <x v="37"/>
          </reference>
        </references>
      </pivotArea>
    </chartFormat>
    <chartFormat chart="0" format="1149" series="1">
      <pivotArea type="data" outline="0" fieldPosition="0">
        <references count="1">
          <reference field="2" count="1" selected="0">
            <x v="38"/>
          </reference>
        </references>
      </pivotArea>
    </chartFormat>
    <chartFormat chart="0" format="1150" series="1">
      <pivotArea type="data" outline="0" fieldPosition="0">
        <references count="1">
          <reference field="2" count="1" selected="0">
            <x v="39"/>
          </reference>
        </references>
      </pivotArea>
    </chartFormat>
    <chartFormat chart="0" format="1151" series="1">
      <pivotArea type="data" outline="0" fieldPosition="0">
        <references count="1">
          <reference field="2" count="1" selected="0">
            <x v="40"/>
          </reference>
        </references>
      </pivotArea>
    </chartFormat>
    <chartFormat chart="0" format="1152" series="1">
      <pivotArea type="data" outline="0" fieldPosition="0">
        <references count="1">
          <reference field="2" count="1" selected="0">
            <x v="41"/>
          </reference>
        </references>
      </pivotArea>
    </chartFormat>
    <chartFormat chart="0" format="1153" series="1">
      <pivotArea type="data" outline="0" fieldPosition="0">
        <references count="1">
          <reference field="2" count="1" selected="0">
            <x v="42"/>
          </reference>
        </references>
      </pivotArea>
    </chartFormat>
    <chartFormat chart="0" format="1154" series="1">
      <pivotArea type="data" outline="0" fieldPosition="0">
        <references count="1">
          <reference field="2" count="1" selected="0">
            <x v="43"/>
          </reference>
        </references>
      </pivotArea>
    </chartFormat>
    <chartFormat chart="0" format="1155" series="1">
      <pivotArea type="data" outline="0" fieldPosition="0">
        <references count="1">
          <reference field="2" count="1" selected="0">
            <x v="44"/>
          </reference>
        </references>
      </pivotArea>
    </chartFormat>
    <chartFormat chart="0" format="1156" series="1">
      <pivotArea type="data" outline="0" fieldPosition="0">
        <references count="1">
          <reference field="2" count="1" selected="0">
            <x v="45"/>
          </reference>
        </references>
      </pivotArea>
    </chartFormat>
    <chartFormat chart="0" format="1157" series="1">
      <pivotArea type="data" outline="0" fieldPosition="0">
        <references count="1">
          <reference field="2" count="1" selected="0">
            <x v="46"/>
          </reference>
        </references>
      </pivotArea>
    </chartFormat>
    <chartFormat chart="0" format="1158" series="1">
      <pivotArea type="data" outline="0" fieldPosition="0">
        <references count="1">
          <reference field="2" count="1" selected="0">
            <x v="47"/>
          </reference>
        </references>
      </pivotArea>
    </chartFormat>
    <chartFormat chart="0" format="1159" series="1">
      <pivotArea type="data" outline="0" fieldPosition="0">
        <references count="1">
          <reference field="2" count="1" selected="0">
            <x v="48"/>
          </reference>
        </references>
      </pivotArea>
    </chartFormat>
    <chartFormat chart="0" format="1160" series="1">
      <pivotArea type="data" outline="0" fieldPosition="0">
        <references count="1">
          <reference field="2" count="1" selected="0">
            <x v="49"/>
          </reference>
        </references>
      </pivotArea>
    </chartFormat>
    <chartFormat chart="0" format="1161" series="1">
      <pivotArea type="data" outline="0" fieldPosition="0">
        <references count="1">
          <reference field="2" count="1" selected="0">
            <x v="50"/>
          </reference>
        </references>
      </pivotArea>
    </chartFormat>
    <chartFormat chart="0" format="1162" series="1">
      <pivotArea type="data" outline="0" fieldPosition="0">
        <references count="1">
          <reference field="2" count="1" selected="0">
            <x v="51"/>
          </reference>
        </references>
      </pivotArea>
    </chartFormat>
    <chartFormat chart="0" format="1163" series="1">
      <pivotArea type="data" outline="0" fieldPosition="0">
        <references count="1">
          <reference field="2" count="1" selected="0">
            <x v="52"/>
          </reference>
        </references>
      </pivotArea>
    </chartFormat>
    <chartFormat chart="0" format="1164" series="1">
      <pivotArea type="data" outline="0" fieldPosition="0">
        <references count="1">
          <reference field="2" count="1" selected="0">
            <x v="53"/>
          </reference>
        </references>
      </pivotArea>
    </chartFormat>
    <chartFormat chart="0" format="1165" series="1">
      <pivotArea type="data" outline="0" fieldPosition="0">
        <references count="1">
          <reference field="2" count="1" selected="0">
            <x v="54"/>
          </reference>
        </references>
      </pivotArea>
    </chartFormat>
    <chartFormat chart="0" format="1166" series="1">
      <pivotArea type="data" outline="0" fieldPosition="0">
        <references count="1">
          <reference field="2" count="1" selected="0">
            <x v="55"/>
          </reference>
        </references>
      </pivotArea>
    </chartFormat>
    <chartFormat chart="0" format="1167" series="1">
      <pivotArea type="data" outline="0" fieldPosition="0">
        <references count="1">
          <reference field="2" count="1" selected="0">
            <x v="56"/>
          </reference>
        </references>
      </pivotArea>
    </chartFormat>
    <chartFormat chart="0" format="1168" series="1">
      <pivotArea type="data" outline="0" fieldPosition="0">
        <references count="1">
          <reference field="2" count="1" selected="0">
            <x v="57"/>
          </reference>
        </references>
      </pivotArea>
    </chartFormat>
    <chartFormat chart="0" format="1169" series="1">
      <pivotArea type="data" outline="0" fieldPosition="0">
        <references count="1">
          <reference field="2" count="1" selected="0">
            <x v="58"/>
          </reference>
        </references>
      </pivotArea>
    </chartFormat>
    <chartFormat chart="0" format="1170" series="1">
      <pivotArea type="data" outline="0" fieldPosition="0">
        <references count="1">
          <reference field="2" count="1" selected="0">
            <x v="59"/>
          </reference>
        </references>
      </pivotArea>
    </chartFormat>
    <chartFormat chart="0" format="1171" series="1">
      <pivotArea type="data" outline="0" fieldPosition="0">
        <references count="1">
          <reference field="2" count="1" selected="0">
            <x v="60"/>
          </reference>
        </references>
      </pivotArea>
    </chartFormat>
    <chartFormat chart="0" format="1172" series="1">
      <pivotArea type="data" outline="0" fieldPosition="0">
        <references count="1">
          <reference field="4294967294" count="1" selected="0">
            <x v="4"/>
          </reference>
        </references>
      </pivotArea>
    </chartFormat>
    <chartFormat chart="0" format="1173" series="1">
      <pivotArea type="data" outline="0" fieldPosition="0">
        <references count="1">
          <reference field="4294967294" count="1" selected="0">
            <x v="3"/>
          </reference>
        </references>
      </pivotArea>
    </chartFormat>
    <chartFormat chart="0" format="1174" series="1">
      <pivotArea type="data" outline="0" fieldPosition="0">
        <references count="1">
          <reference field="4294967294" count="1" selected="0">
            <x v="2"/>
          </reference>
        </references>
      </pivotArea>
    </chartFormat>
    <chartFormat chart="0" format="1175" series="1">
      <pivotArea type="data" outline="0" fieldPosition="0">
        <references count="1">
          <reference field="4294967294" count="1" selected="0">
            <x v="1"/>
          </reference>
        </references>
      </pivotArea>
    </chartFormat>
    <chartFormat chart="0" format="117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E5131B-5C12-4850-9FE6-75B4C806138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C9:F25" firstHeaderRow="0" firstDataRow="1" firstDataCol="1"/>
  <pivotFields count="18">
    <pivotField showAll="0">
      <items count="62">
        <item x="0"/>
        <item x="16"/>
        <item x="25"/>
        <item x="26"/>
        <item x="27"/>
        <item x="28"/>
        <item x="29"/>
        <item x="30"/>
        <item x="17"/>
        <item x="18"/>
        <item x="19"/>
        <item x="20"/>
        <item x="21"/>
        <item x="22"/>
        <item x="23"/>
        <item x="24"/>
        <item x="31"/>
        <item x="40"/>
        <item x="41"/>
        <item x="42"/>
        <item x="43"/>
        <item x="44"/>
        <item x="45"/>
        <item x="32"/>
        <item x="33"/>
        <item x="34"/>
        <item x="35"/>
        <item x="36"/>
        <item x="37"/>
        <item x="38"/>
        <item x="39"/>
        <item x="1"/>
        <item x="10"/>
        <item x="11"/>
        <item x="12"/>
        <item x="13"/>
        <item x="14"/>
        <item x="15"/>
        <item x="2"/>
        <item x="3"/>
        <item x="4"/>
        <item x="5"/>
        <item x="6"/>
        <item x="7"/>
        <item x="8"/>
        <item x="9"/>
        <item x="46"/>
        <item x="55"/>
        <item x="56"/>
        <item x="57"/>
        <item x="58"/>
        <item x="59"/>
        <item x="60"/>
        <item x="47"/>
        <item x="48"/>
        <item x="49"/>
        <item x="50"/>
        <item x="51"/>
        <item x="52"/>
        <item x="53"/>
        <item x="54"/>
        <item t="default"/>
      </items>
    </pivotField>
    <pivotField showAll="0"/>
    <pivotField axis="axisRow" showAll="0">
      <items count="62">
        <item x="50"/>
        <item x="60"/>
        <item x="43"/>
        <item x="21"/>
        <item x="20"/>
        <item x="34"/>
        <item x="56"/>
        <item x="41"/>
        <item x="22"/>
        <item x="18"/>
        <item x="47"/>
        <item x="16"/>
        <item x="54"/>
        <item x="45"/>
        <item x="14"/>
        <item x="28"/>
        <item x="0"/>
        <item x="29"/>
        <item x="39"/>
        <item x="48"/>
        <item x="1"/>
        <item x="11"/>
        <item x="53"/>
        <item x="10"/>
        <item x="33"/>
        <item x="17"/>
        <item x="12"/>
        <item x="55"/>
        <item x="31"/>
        <item x="37"/>
        <item x="8"/>
        <item x="19"/>
        <item x="30"/>
        <item x="25"/>
        <item x="15"/>
        <item x="59"/>
        <item x="38"/>
        <item x="40"/>
        <item x="2"/>
        <item x="35"/>
        <item x="7"/>
        <item x="44"/>
        <item x="27"/>
        <item x="24"/>
        <item x="23"/>
        <item x="51"/>
        <item x="32"/>
        <item x="46"/>
        <item x="26"/>
        <item x="6"/>
        <item x="57"/>
        <item x="58"/>
        <item x="5"/>
        <item x="42"/>
        <item x="36"/>
        <item x="4"/>
        <item x="49"/>
        <item x="52"/>
        <item x="13"/>
        <item x="9"/>
        <item x="3"/>
        <item t="default"/>
      </items>
    </pivotField>
    <pivotField showAll="0"/>
    <pivotField showAll="0">
      <items count="6">
        <item h="1" x="0"/>
        <item h="1" x="2"/>
        <item h="1" x="3"/>
        <item x="1"/>
        <item h="1" x="4"/>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16">
    <i>
      <x v="14"/>
    </i>
    <i>
      <x v="20"/>
    </i>
    <i>
      <x v="21"/>
    </i>
    <i>
      <x v="23"/>
    </i>
    <i>
      <x v="26"/>
    </i>
    <i>
      <x v="30"/>
    </i>
    <i>
      <x v="34"/>
    </i>
    <i>
      <x v="38"/>
    </i>
    <i>
      <x v="40"/>
    </i>
    <i>
      <x v="49"/>
    </i>
    <i>
      <x v="52"/>
    </i>
    <i>
      <x v="55"/>
    </i>
    <i>
      <x v="58"/>
    </i>
    <i>
      <x v="59"/>
    </i>
    <i>
      <x v="60"/>
    </i>
    <i t="grand">
      <x/>
    </i>
  </rowItems>
  <colFields count="1">
    <field x="-2"/>
  </colFields>
  <colItems count="3">
    <i>
      <x/>
    </i>
    <i i="1">
      <x v="1"/>
    </i>
    <i i="2">
      <x v="2"/>
    </i>
  </colItems>
  <dataFields count="3">
    <dataField name="Count of Product Lines" fld="5" subtotal="count" baseField="0" baseItem="0"/>
    <dataField name="Count of Column6" fld="6" subtotal="count" baseField="0" baseItem="0"/>
    <dataField name="Count of Column7" fld="7" subtotal="count" baseField="0" baseItem="0"/>
  </dataField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0" format="6">
      <pivotArea type="data" outline="0" fieldPosition="0">
        <references count="2">
          <reference field="4294967294" count="1" selected="0">
            <x v="0"/>
          </reference>
          <reference field="2" count="1" selected="0">
            <x v="10"/>
          </reference>
        </references>
      </pivotArea>
    </chartFormat>
    <chartFormat chart="0" format="7">
      <pivotArea type="data" outline="0" fieldPosition="0">
        <references count="2">
          <reference field="4294967294" count="1" selected="0">
            <x v="0"/>
          </reference>
          <reference field="2" count="1" selected="0">
            <x v="12"/>
          </reference>
        </references>
      </pivotArea>
    </chartFormat>
    <chartFormat chart="0" format="8">
      <pivotArea type="data" outline="0" fieldPosition="0">
        <references count="2">
          <reference field="4294967294" count="1" selected="0">
            <x v="0"/>
          </reference>
          <reference field="2" count="1" selected="0">
            <x v="19"/>
          </reference>
        </references>
      </pivotArea>
    </chartFormat>
    <chartFormat chart="0" format="9">
      <pivotArea type="data" outline="0" fieldPosition="0">
        <references count="2">
          <reference field="4294967294" count="1" selected="0">
            <x v="0"/>
          </reference>
          <reference field="2" count="1" selected="0">
            <x v="22"/>
          </reference>
        </references>
      </pivotArea>
    </chartFormat>
    <chartFormat chart="0" format="10">
      <pivotArea type="data" outline="0" fieldPosition="0">
        <references count="2">
          <reference field="4294967294" count="1" selected="0">
            <x v="0"/>
          </reference>
          <reference field="2" count="1" selected="0">
            <x v="27"/>
          </reference>
        </references>
      </pivotArea>
    </chartFormat>
    <chartFormat chart="0" format="11">
      <pivotArea type="data" outline="0" fieldPosition="0">
        <references count="2">
          <reference field="4294967294" count="1" selected="0">
            <x v="0"/>
          </reference>
          <reference field="2" count="1" selected="0">
            <x v="35"/>
          </reference>
        </references>
      </pivotArea>
    </chartFormat>
    <chartFormat chart="0" format="12">
      <pivotArea type="data" outline="0" fieldPosition="0">
        <references count="2">
          <reference field="4294967294" count="1" selected="0">
            <x v="0"/>
          </reference>
          <reference field="2" count="1" selected="0">
            <x v="45"/>
          </reference>
        </references>
      </pivotArea>
    </chartFormat>
    <chartFormat chart="0" format="13">
      <pivotArea type="data" outline="0" fieldPosition="0">
        <references count="2">
          <reference field="4294967294" count="1" selected="0">
            <x v="0"/>
          </reference>
          <reference field="2" count="1" selected="0">
            <x v="47"/>
          </reference>
        </references>
      </pivotArea>
    </chartFormat>
    <chartFormat chart="0" format="14">
      <pivotArea type="data" outline="0" fieldPosition="0">
        <references count="2">
          <reference field="4294967294" count="1" selected="0">
            <x v="0"/>
          </reference>
          <reference field="2" count="1" selected="0">
            <x v="50"/>
          </reference>
        </references>
      </pivotArea>
    </chartFormat>
    <chartFormat chart="0" format="15">
      <pivotArea type="data" outline="0" fieldPosition="0">
        <references count="2">
          <reference field="4294967294" count="1" selected="0">
            <x v="0"/>
          </reference>
          <reference field="2" count="1" selected="0">
            <x v="51"/>
          </reference>
        </references>
      </pivotArea>
    </chartFormat>
    <chartFormat chart="0" format="16">
      <pivotArea type="data" outline="0" fieldPosition="0">
        <references count="2">
          <reference field="4294967294" count="1" selected="0">
            <x v="0"/>
          </reference>
          <reference field="2" count="1" selected="0">
            <x v="56"/>
          </reference>
        </references>
      </pivotArea>
    </chartFormat>
    <chartFormat chart="0" format="17">
      <pivotArea type="data" outline="0" fieldPosition="0">
        <references count="2">
          <reference field="4294967294" count="1" selected="0">
            <x v="0"/>
          </reference>
          <reference field="2" count="1" selected="0">
            <x v="57"/>
          </reference>
        </references>
      </pivotArea>
    </chartFormat>
    <chartFormat chart="0" format="18">
      <pivotArea type="data" outline="0" fieldPosition="0">
        <references count="2">
          <reference field="4294967294" count="1" selected="0">
            <x v="1"/>
          </reference>
          <reference field="2" count="1" selected="0">
            <x v="0"/>
          </reference>
        </references>
      </pivotArea>
    </chartFormat>
    <chartFormat chart="0" format="19">
      <pivotArea type="data" outline="0" fieldPosition="0">
        <references count="2">
          <reference field="4294967294" count="1" selected="0">
            <x v="1"/>
          </reference>
          <reference field="2" count="1" selected="0">
            <x v="1"/>
          </reference>
        </references>
      </pivotArea>
    </chartFormat>
    <chartFormat chart="0" format="20">
      <pivotArea type="data" outline="0" fieldPosition="0">
        <references count="2">
          <reference field="4294967294" count="1" selected="0">
            <x v="1"/>
          </reference>
          <reference field="2" count="1" selected="0">
            <x v="6"/>
          </reference>
        </references>
      </pivotArea>
    </chartFormat>
    <chartFormat chart="0" format="21">
      <pivotArea type="data" outline="0" fieldPosition="0">
        <references count="2">
          <reference field="4294967294" count="1" selected="0">
            <x v="1"/>
          </reference>
          <reference field="2" count="1" selected="0">
            <x v="10"/>
          </reference>
        </references>
      </pivotArea>
    </chartFormat>
    <chartFormat chart="0" format="22">
      <pivotArea type="data" outline="0" fieldPosition="0">
        <references count="2">
          <reference field="4294967294" count="1" selected="0">
            <x v="1"/>
          </reference>
          <reference field="2" count="1" selected="0">
            <x v="12"/>
          </reference>
        </references>
      </pivotArea>
    </chartFormat>
    <chartFormat chart="0" format="23">
      <pivotArea type="data" outline="0" fieldPosition="0">
        <references count="2">
          <reference field="4294967294" count="1" selected="0">
            <x v="1"/>
          </reference>
          <reference field="2" count="1" selected="0">
            <x v="19"/>
          </reference>
        </references>
      </pivotArea>
    </chartFormat>
    <chartFormat chart="0" format="24">
      <pivotArea type="data" outline="0" fieldPosition="0">
        <references count="2">
          <reference field="4294967294" count="1" selected="0">
            <x v="1"/>
          </reference>
          <reference field="2" count="1" selected="0">
            <x v="22"/>
          </reference>
        </references>
      </pivotArea>
    </chartFormat>
    <chartFormat chart="0" format="25">
      <pivotArea type="data" outline="0" fieldPosition="0">
        <references count="2">
          <reference field="4294967294" count="1" selected="0">
            <x v="1"/>
          </reference>
          <reference field="2" count="1" selected="0">
            <x v="27"/>
          </reference>
        </references>
      </pivotArea>
    </chartFormat>
    <chartFormat chart="0" format="26">
      <pivotArea type="data" outline="0" fieldPosition="0">
        <references count="2">
          <reference field="4294967294" count="1" selected="0">
            <x v="1"/>
          </reference>
          <reference field="2" count="1" selected="0">
            <x v="35"/>
          </reference>
        </references>
      </pivotArea>
    </chartFormat>
    <chartFormat chart="0" format="27">
      <pivotArea type="data" outline="0" fieldPosition="0">
        <references count="2">
          <reference field="4294967294" count="1" selected="0">
            <x v="1"/>
          </reference>
          <reference field="2" count="1" selected="0">
            <x v="45"/>
          </reference>
        </references>
      </pivotArea>
    </chartFormat>
    <chartFormat chart="0" format="28">
      <pivotArea type="data" outline="0" fieldPosition="0">
        <references count="2">
          <reference field="4294967294" count="1" selected="0">
            <x v="1"/>
          </reference>
          <reference field="2" count="1" selected="0">
            <x v="47"/>
          </reference>
        </references>
      </pivotArea>
    </chartFormat>
    <chartFormat chart="0" format="29">
      <pivotArea type="data" outline="0" fieldPosition="0">
        <references count="2">
          <reference field="4294967294" count="1" selected="0">
            <x v="1"/>
          </reference>
          <reference field="2" count="1" selected="0">
            <x v="50"/>
          </reference>
        </references>
      </pivotArea>
    </chartFormat>
    <chartFormat chart="0" format="30">
      <pivotArea type="data" outline="0" fieldPosition="0">
        <references count="2">
          <reference field="4294967294" count="1" selected="0">
            <x v="1"/>
          </reference>
          <reference field="2" count="1" selected="0">
            <x v="51"/>
          </reference>
        </references>
      </pivotArea>
    </chartFormat>
    <chartFormat chart="0" format="31">
      <pivotArea type="data" outline="0" fieldPosition="0">
        <references count="2">
          <reference field="4294967294" count="1" selected="0">
            <x v="1"/>
          </reference>
          <reference field="2" count="1" selected="0">
            <x v="56"/>
          </reference>
        </references>
      </pivotArea>
    </chartFormat>
    <chartFormat chart="0" format="32">
      <pivotArea type="data" outline="0" fieldPosition="0">
        <references count="2">
          <reference field="4294967294" count="1" selected="0">
            <x v="1"/>
          </reference>
          <reference field="2" count="1" selected="0">
            <x v="57"/>
          </reference>
        </references>
      </pivotArea>
    </chartFormat>
    <chartFormat chart="0" format="33">
      <pivotArea type="data" outline="0" fieldPosition="0">
        <references count="2">
          <reference field="4294967294" count="1" selected="0">
            <x v="2"/>
          </reference>
          <reference field="2" count="1" selected="0">
            <x v="0"/>
          </reference>
        </references>
      </pivotArea>
    </chartFormat>
    <chartFormat chart="0" format="34">
      <pivotArea type="data" outline="0" fieldPosition="0">
        <references count="2">
          <reference field="4294967294" count="1" selected="0">
            <x v="2"/>
          </reference>
          <reference field="2" count="1" selected="0">
            <x v="1"/>
          </reference>
        </references>
      </pivotArea>
    </chartFormat>
    <chartFormat chart="0" format="35">
      <pivotArea type="data" outline="0" fieldPosition="0">
        <references count="2">
          <reference field="4294967294" count="1" selected="0">
            <x v="2"/>
          </reference>
          <reference field="2" count="1" selected="0">
            <x v="6"/>
          </reference>
        </references>
      </pivotArea>
    </chartFormat>
    <chartFormat chart="0" format="36">
      <pivotArea type="data" outline="0" fieldPosition="0">
        <references count="2">
          <reference field="4294967294" count="1" selected="0">
            <x v="2"/>
          </reference>
          <reference field="2" count="1" selected="0">
            <x v="10"/>
          </reference>
        </references>
      </pivotArea>
    </chartFormat>
    <chartFormat chart="0" format="37">
      <pivotArea type="data" outline="0" fieldPosition="0">
        <references count="2">
          <reference field="4294967294" count="1" selected="0">
            <x v="2"/>
          </reference>
          <reference field="2" count="1" selected="0">
            <x v="12"/>
          </reference>
        </references>
      </pivotArea>
    </chartFormat>
    <chartFormat chart="0" format="38">
      <pivotArea type="data" outline="0" fieldPosition="0">
        <references count="2">
          <reference field="4294967294" count="1" selected="0">
            <x v="2"/>
          </reference>
          <reference field="2" count="1" selected="0">
            <x v="19"/>
          </reference>
        </references>
      </pivotArea>
    </chartFormat>
    <chartFormat chart="0" format="39">
      <pivotArea type="data" outline="0" fieldPosition="0">
        <references count="2">
          <reference field="4294967294" count="1" selected="0">
            <x v="2"/>
          </reference>
          <reference field="2" count="1" selected="0">
            <x v="22"/>
          </reference>
        </references>
      </pivotArea>
    </chartFormat>
    <chartFormat chart="0" format="40">
      <pivotArea type="data" outline="0" fieldPosition="0">
        <references count="2">
          <reference field="4294967294" count="1" selected="0">
            <x v="2"/>
          </reference>
          <reference field="2" count="1" selected="0">
            <x v="27"/>
          </reference>
        </references>
      </pivotArea>
    </chartFormat>
    <chartFormat chart="0" format="41">
      <pivotArea type="data" outline="0" fieldPosition="0">
        <references count="2">
          <reference field="4294967294" count="1" selected="0">
            <x v="2"/>
          </reference>
          <reference field="2" count="1" selected="0">
            <x v="35"/>
          </reference>
        </references>
      </pivotArea>
    </chartFormat>
    <chartFormat chart="0" format="42">
      <pivotArea type="data" outline="0" fieldPosition="0">
        <references count="2">
          <reference field="4294967294" count="1" selected="0">
            <x v="2"/>
          </reference>
          <reference field="2" count="1" selected="0">
            <x v="45"/>
          </reference>
        </references>
      </pivotArea>
    </chartFormat>
    <chartFormat chart="0" format="43">
      <pivotArea type="data" outline="0" fieldPosition="0">
        <references count="2">
          <reference field="4294967294" count="1" selected="0">
            <x v="2"/>
          </reference>
          <reference field="2" count="1" selected="0">
            <x v="47"/>
          </reference>
        </references>
      </pivotArea>
    </chartFormat>
    <chartFormat chart="0" format="44">
      <pivotArea type="data" outline="0" fieldPosition="0">
        <references count="2">
          <reference field="4294967294" count="1" selected="0">
            <x v="2"/>
          </reference>
          <reference field="2" count="1" selected="0">
            <x v="50"/>
          </reference>
        </references>
      </pivotArea>
    </chartFormat>
    <chartFormat chart="0" format="45">
      <pivotArea type="data" outline="0" fieldPosition="0">
        <references count="2">
          <reference field="4294967294" count="1" selected="0">
            <x v="2"/>
          </reference>
          <reference field="2" count="1" selected="0">
            <x v="51"/>
          </reference>
        </references>
      </pivotArea>
    </chartFormat>
    <chartFormat chart="0" format="46">
      <pivotArea type="data" outline="0" fieldPosition="0">
        <references count="2">
          <reference field="4294967294" count="1" selected="0">
            <x v="2"/>
          </reference>
          <reference field="2" count="1" selected="0">
            <x v="56"/>
          </reference>
        </references>
      </pivotArea>
    </chartFormat>
    <chartFormat chart="0" format="47">
      <pivotArea type="data" outline="0" fieldPosition="0">
        <references count="2">
          <reference field="4294967294" count="1" selected="0">
            <x v="2"/>
          </reference>
          <reference field="2" count="1" selected="0">
            <x v="5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5" xr10:uid="{7CE03B69-D20D-4F6F-B27D-3E6FD8A151E5}" sourceName="Column15">
  <pivotTables>
    <pivotTable tabId="3" name="PivotTable1"/>
  </pivotTables>
  <data>
    <tabular pivotCacheId="597299345">
      <items count="61">
        <i x="46" s="1"/>
        <i x="7" s="1"/>
        <i x="15" s="1"/>
        <i x="23" s="1"/>
        <i x="41" s="1"/>
        <i x="26" s="1"/>
        <i x="38" s="1"/>
        <i x="49" s="1"/>
        <i x="9" s="1"/>
        <i x="11" s="1"/>
        <i x="57" s="1"/>
        <i x="19" s="1"/>
        <i x="43" s="1"/>
        <i x="53" s="1"/>
        <i x="28" s="1"/>
        <i x="33" s="1"/>
        <i x="17" s="1"/>
        <i x="30" s="1"/>
        <i x="2" s="1"/>
        <i x="16" s="1"/>
        <i x="34" s="1"/>
        <i x="31" s="1"/>
        <i x="12" s="1"/>
        <i x="36" s="1"/>
        <i x="6" s="1"/>
        <i x="10" s="1"/>
        <i x="5" s="1"/>
        <i x="1" s="1"/>
        <i x="24" s="1"/>
        <i x="8" s="1"/>
        <i x="48" s="1"/>
        <i x="59" s="1"/>
        <i x="51" s="1"/>
        <i x="44" s="1"/>
        <i x="54" s="1"/>
        <i x="22" s="1"/>
        <i x="60" s="1"/>
        <i x="58" s="1"/>
        <i x="3" s="1"/>
        <i x="52" s="1"/>
        <i x="35" s="1"/>
        <i x="55" s="1"/>
        <i x="42" s="1"/>
        <i x="4" s="1"/>
        <i x="14" s="1"/>
        <i x="50" s="1"/>
        <i x="29" s="1"/>
        <i x="18" s="1"/>
        <i x="37" s="1"/>
        <i x="25" s="1"/>
        <i x="39" s="1"/>
        <i x="45" s="1"/>
        <i x="40" s="1"/>
        <i x="47" s="1"/>
        <i x="21" s="1"/>
        <i x="27" s="1"/>
        <i x="56" s="1"/>
        <i x="32" s="1"/>
        <i x="20" s="1"/>
        <i x="1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5" xr10:uid="{5A80F676-30D1-49D9-A504-867F8E7632EB}" sourceName="Column5">
  <pivotTables>
    <pivotTable tabId="5" name="PivotTable3"/>
  </pivotTables>
  <data>
    <tabular pivotCacheId="597299345">
      <items count="5">
        <i x="0"/>
        <i x="2"/>
        <i x="3"/>
        <i x="1"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5" xr10:uid="{F8935BEF-ED1C-487B-8EF5-474C0E99613F}" cache="Slicer_Column15" caption="Column1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5" xr10:uid="{73909098-389F-4CC9-AFB2-7C13BC8579C1}" cache="Slicer_Column5" caption="Column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021CD4-3670-43F8-92A4-F4FDA4DCB626}" name="Table1" displayName="Table1" ref="A3:R64" totalsRowShown="0" headerRowDxfId="18">
  <autoFilter ref="A3:R64" xr:uid="{734738E4-BCA2-44CC-A906-1E739013B969}"/>
  <tableColumns count="18">
    <tableColumn id="1" xr3:uid="{886348A6-C2B2-42E1-8480-74F37DCC20F8}" name="Account Name"/>
    <tableColumn id="2" xr3:uid="{21B8C11D-CAC3-45D9-89F6-DE294E4DC12D}" name="Account Address"/>
    <tableColumn id="3" xr3:uid="{270C2BBE-DEB9-4B32-B98D-DE4CE8DEA8BC}" name="Decision Maker"/>
    <tableColumn id="4" xr3:uid="{9C84F6A0-B30C-490C-9821-E723012A926D}" name="Phone Number"/>
    <tableColumn id="5" xr3:uid="{6C781379-CF12-40B2-A18B-4AE9763855F7}" name="Account Type"/>
    <tableColumn id="6" xr3:uid="{A8D8DF4D-32C1-41E2-9954-D4CBDDB68CDF}" name="Product 1"/>
    <tableColumn id="7" xr3:uid="{52A4682E-1A8C-465C-B615-D4AF66DEBD8D}" name="Product 2"/>
    <tableColumn id="8" xr3:uid="{2EAFA3D7-BD0D-4AF3-A546-B7877E62FB9D}" name="Product 3"/>
    <tableColumn id="9" xr3:uid="{3BD9096E-4909-4D26-9140-ABCE2EA8895E}" name="Social Media"/>
    <tableColumn id="10" xr3:uid="{DFEC7A6B-7827-4D02-B5D5-33238C14C54F}" name="Coupons"/>
    <tableColumn id="11" xr3:uid="{F8D05230-CBEA-4391-92BC-F9C7399940D8}" name="Catalog Inclusion"/>
    <tableColumn id="12" xr3:uid="{9CCC71F3-6E1F-4F1B-9B37-01FF6F4E0FC8}" name="Posters"/>
    <tableColumn id="13" xr3:uid="{A3D34724-E2AF-49C3-B2E1-ED008A3B38E7}" name="2017"/>
    <tableColumn id="14" xr3:uid="{D07E7276-08B2-461C-8F4E-4D5AB0C37D8F}" name="2018"/>
    <tableColumn id="15" xr3:uid="{243D61B9-99E5-43B2-8FBD-0BB6C2929523}" name="2019"/>
    <tableColumn id="16" xr3:uid="{761701C8-6F84-4769-B5AD-E2B4AAE5BA55}" name="2020"/>
    <tableColumn id="17" xr3:uid="{C0644677-282D-4CBB-9993-F5671C9A0860}" name="2021"/>
    <tableColumn id="18" xr3:uid="{D4D789AE-9F02-4A04-815E-305C439D5B21}" name="5 YR CAGR" dataDxfId="17">
      <calculatedColumnFormula>_xlfn.RRI($Q$4-$M$4,M4,Q4)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7DC5-F373-4955-B05B-A112D33F03E5}">
  <dimension ref="A3:F65"/>
  <sheetViews>
    <sheetView zoomScale="70" zoomScaleNormal="70" workbookViewId="0">
      <selection activeCell="B9" sqref="B9"/>
    </sheetView>
  </sheetViews>
  <sheetFormatPr defaultRowHeight="15" x14ac:dyDescent="0.25"/>
  <cols>
    <col min="1" max="1" width="18.85546875" style="6" bestFit="1" customWidth="1"/>
    <col min="2" max="2" width="35.42578125" style="6" bestFit="1" customWidth="1"/>
    <col min="3" max="6" width="16.5703125" style="6" bestFit="1" customWidth="1"/>
    <col min="7" max="61" width="18.85546875" style="6" bestFit="1" customWidth="1"/>
    <col min="62" max="63" width="11.28515625" style="6" bestFit="1" customWidth="1"/>
    <col min="64" max="64" width="16.5703125" style="6" bestFit="1" customWidth="1"/>
    <col min="65" max="65" width="35.42578125" style="6" bestFit="1" customWidth="1"/>
    <col min="66" max="68" width="16.5703125" style="6" bestFit="1" customWidth="1"/>
    <col min="69" max="69" width="35.42578125" style="6" bestFit="1" customWidth="1"/>
    <col min="70" max="72" width="16.5703125" style="6" bestFit="1" customWidth="1"/>
    <col min="73" max="73" width="35.42578125" style="6" bestFit="1" customWidth="1"/>
    <col min="74" max="76" width="16.5703125" style="6" bestFit="1" customWidth="1"/>
    <col min="77" max="77" width="35.42578125" style="6" bestFit="1" customWidth="1"/>
    <col min="78" max="80" width="16.5703125" style="6" bestFit="1" customWidth="1"/>
    <col min="81" max="81" width="35.42578125" style="6" bestFit="1" customWidth="1"/>
    <col min="82" max="84" width="16.5703125" style="6" bestFit="1" customWidth="1"/>
    <col min="85" max="85" width="35.42578125" style="6" bestFit="1" customWidth="1"/>
    <col min="86" max="88" width="16.5703125" style="6" bestFit="1" customWidth="1"/>
    <col min="89" max="89" width="35.42578125" style="6" bestFit="1" customWidth="1"/>
    <col min="90" max="92" width="16.5703125" style="6" bestFit="1" customWidth="1"/>
    <col min="93" max="93" width="35.42578125" style="6" bestFit="1" customWidth="1"/>
    <col min="94" max="96" width="16.5703125" style="6" bestFit="1" customWidth="1"/>
    <col min="97" max="97" width="35.42578125" style="6" bestFit="1" customWidth="1"/>
    <col min="98" max="100" width="16.5703125" style="6" bestFit="1" customWidth="1"/>
    <col min="101" max="101" width="35.42578125" style="6" bestFit="1" customWidth="1"/>
    <col min="102" max="104" width="16.5703125" style="6" bestFit="1" customWidth="1"/>
    <col min="105" max="105" width="35.42578125" style="6" bestFit="1" customWidth="1"/>
    <col min="106" max="108" width="16.5703125" style="6" bestFit="1" customWidth="1"/>
    <col min="109" max="109" width="35.42578125" style="6" bestFit="1" customWidth="1"/>
    <col min="110" max="112" width="16.5703125" style="6" bestFit="1" customWidth="1"/>
    <col min="113" max="113" width="35.42578125" style="6" bestFit="1" customWidth="1"/>
    <col min="114" max="116" width="16.5703125" style="6" bestFit="1" customWidth="1"/>
    <col min="117" max="117" width="35.42578125" style="6" bestFit="1" customWidth="1"/>
    <col min="118" max="120" width="16.5703125" style="6" bestFit="1" customWidth="1"/>
    <col min="121" max="121" width="35.42578125" style="6" bestFit="1" customWidth="1"/>
    <col min="122" max="124" width="16.5703125" style="6" bestFit="1" customWidth="1"/>
    <col min="125" max="125" width="35.42578125" style="6" bestFit="1" customWidth="1"/>
    <col min="126" max="128" width="16.5703125" style="6" bestFit="1" customWidth="1"/>
    <col min="129" max="129" width="35.42578125" style="6" bestFit="1" customWidth="1"/>
    <col min="130" max="132" width="16.5703125" style="6" bestFit="1" customWidth="1"/>
    <col min="133" max="133" width="35.42578125" style="6" bestFit="1" customWidth="1"/>
    <col min="134" max="136" width="16.5703125" style="6" bestFit="1" customWidth="1"/>
    <col min="137" max="137" width="35.42578125" style="6" bestFit="1" customWidth="1"/>
    <col min="138" max="140" width="16.5703125" style="6" bestFit="1" customWidth="1"/>
    <col min="141" max="141" width="35.42578125" style="6" bestFit="1" customWidth="1"/>
    <col min="142" max="144" width="16.5703125" style="6" bestFit="1" customWidth="1"/>
    <col min="145" max="145" width="35.42578125" style="6" bestFit="1" customWidth="1"/>
    <col min="146" max="148" width="16.5703125" style="6" bestFit="1" customWidth="1"/>
    <col min="149" max="149" width="35.42578125" style="6" bestFit="1" customWidth="1"/>
    <col min="150" max="152" width="16.5703125" style="6" bestFit="1" customWidth="1"/>
    <col min="153" max="153" width="35.42578125" style="6" bestFit="1" customWidth="1"/>
    <col min="154" max="156" width="16.5703125" style="6" bestFit="1" customWidth="1"/>
    <col min="157" max="157" width="35.42578125" style="6" bestFit="1" customWidth="1"/>
    <col min="158" max="160" width="16.5703125" style="6" bestFit="1" customWidth="1"/>
    <col min="161" max="161" width="35.42578125" style="6" bestFit="1" customWidth="1"/>
    <col min="162" max="164" width="16.5703125" style="6" bestFit="1" customWidth="1"/>
    <col min="165" max="165" width="35.42578125" style="6" bestFit="1" customWidth="1"/>
    <col min="166" max="168" width="16.5703125" style="6" bestFit="1" customWidth="1"/>
    <col min="169" max="169" width="35.42578125" style="6" bestFit="1" customWidth="1"/>
    <col min="170" max="172" width="16.5703125" style="6" bestFit="1" customWidth="1"/>
    <col min="173" max="173" width="35.42578125" style="6" bestFit="1" customWidth="1"/>
    <col min="174" max="176" width="16.5703125" style="6" bestFit="1" customWidth="1"/>
    <col min="177" max="177" width="35.42578125" style="6" bestFit="1" customWidth="1"/>
    <col min="178" max="180" width="16.5703125" style="6" bestFit="1" customWidth="1"/>
    <col min="181" max="181" width="35.42578125" style="6" bestFit="1" customWidth="1"/>
    <col min="182" max="184" width="16.5703125" style="6" bestFit="1" customWidth="1"/>
    <col min="185" max="185" width="35.42578125" style="6" bestFit="1" customWidth="1"/>
    <col min="186" max="188" width="16.5703125" style="6" bestFit="1" customWidth="1"/>
    <col min="189" max="189" width="35.42578125" style="6" bestFit="1" customWidth="1"/>
    <col min="190" max="192" width="16.5703125" style="6" bestFit="1" customWidth="1"/>
    <col min="193" max="193" width="35.42578125" style="6" bestFit="1" customWidth="1"/>
    <col min="194" max="196" width="16.5703125" style="6" bestFit="1" customWidth="1"/>
    <col min="197" max="197" width="35.42578125" style="6" bestFit="1" customWidth="1"/>
    <col min="198" max="200" width="16.5703125" style="6" bestFit="1" customWidth="1"/>
    <col min="201" max="201" width="35.42578125" style="6" bestFit="1" customWidth="1"/>
    <col min="202" max="204" width="16.5703125" style="6" bestFit="1" customWidth="1"/>
    <col min="205" max="205" width="35.42578125" style="6" bestFit="1" customWidth="1"/>
    <col min="206" max="208" width="16.5703125" style="6" bestFit="1" customWidth="1"/>
    <col min="209" max="209" width="35.42578125" style="6" bestFit="1" customWidth="1"/>
    <col min="210" max="212" width="16.5703125" style="6" bestFit="1" customWidth="1"/>
    <col min="213" max="213" width="35.42578125" style="6" bestFit="1" customWidth="1"/>
    <col min="214" max="216" width="16.5703125" style="6" bestFit="1" customWidth="1"/>
    <col min="217" max="217" width="35.42578125" style="6" bestFit="1" customWidth="1"/>
    <col min="218" max="220" width="16.5703125" style="6" bestFit="1" customWidth="1"/>
    <col min="221" max="221" width="35.42578125" style="6" bestFit="1" customWidth="1"/>
    <col min="222" max="224" width="16.5703125" style="6" bestFit="1" customWidth="1"/>
    <col min="225" max="225" width="35.42578125" style="6" bestFit="1" customWidth="1"/>
    <col min="226" max="228" width="16.5703125" style="6" bestFit="1" customWidth="1"/>
    <col min="229" max="229" width="35.42578125" style="6" bestFit="1" customWidth="1"/>
    <col min="230" max="232" width="16.5703125" style="6" bestFit="1" customWidth="1"/>
    <col min="233" max="233" width="35.42578125" style="6" bestFit="1" customWidth="1"/>
    <col min="234" max="236" width="16.5703125" style="6" bestFit="1" customWidth="1"/>
    <col min="237" max="237" width="35.42578125" style="6" bestFit="1" customWidth="1"/>
    <col min="238" max="240" width="16.5703125" style="6" bestFit="1" customWidth="1"/>
    <col min="241" max="241" width="35.42578125" style="6" bestFit="1" customWidth="1"/>
    <col min="242" max="244" width="16.5703125" style="6" bestFit="1" customWidth="1"/>
    <col min="245" max="245" width="35.42578125" style="6" bestFit="1" customWidth="1"/>
    <col min="246" max="248" width="21.7109375" style="6" bestFit="1" customWidth="1"/>
    <col min="249" max="249" width="40.42578125" style="6" bestFit="1" customWidth="1"/>
    <col min="250" max="250" width="35.42578125" style="6" bestFit="1" customWidth="1"/>
    <col min="251" max="252" width="21.140625" style="6" bestFit="1" customWidth="1"/>
    <col min="253" max="253" width="40" style="6" bestFit="1" customWidth="1"/>
    <col min="254" max="255" width="16.5703125" style="6" bestFit="1" customWidth="1"/>
    <col min="256" max="256" width="35.42578125" style="6" bestFit="1" customWidth="1"/>
    <col min="257" max="258" width="21.140625" style="6" bestFit="1" customWidth="1"/>
    <col min="259" max="259" width="40" style="6" bestFit="1" customWidth="1"/>
    <col min="260" max="261" width="16.5703125" style="6" bestFit="1" customWidth="1"/>
    <col min="262" max="262" width="35.42578125" style="6" bestFit="1" customWidth="1"/>
    <col min="263" max="264" width="21.140625" style="6" bestFit="1" customWidth="1"/>
    <col min="265" max="265" width="40" style="6" bestFit="1" customWidth="1"/>
    <col min="266" max="267" width="16.5703125" style="6" bestFit="1" customWidth="1"/>
    <col min="268" max="268" width="35.42578125" style="6" bestFit="1" customWidth="1"/>
    <col min="269" max="270" width="21.140625" style="6" bestFit="1" customWidth="1"/>
    <col min="271" max="271" width="40" style="6" bestFit="1" customWidth="1"/>
    <col min="272" max="273" width="16.5703125" style="6" bestFit="1" customWidth="1"/>
    <col min="274" max="274" width="35.42578125" style="6" bestFit="1" customWidth="1"/>
    <col min="275" max="276" width="21.140625" style="6" bestFit="1" customWidth="1"/>
    <col min="277" max="277" width="40" style="6" bestFit="1" customWidth="1"/>
    <col min="278" max="279" width="16.5703125" style="6" bestFit="1" customWidth="1"/>
    <col min="280" max="280" width="35.42578125" style="6" bestFit="1" customWidth="1"/>
    <col min="281" max="282" width="21.140625" style="6" bestFit="1" customWidth="1"/>
    <col min="283" max="283" width="40" style="6" bestFit="1" customWidth="1"/>
    <col min="284" max="285" width="16.5703125" style="6" bestFit="1" customWidth="1"/>
    <col min="286" max="286" width="35.42578125" style="6" bestFit="1" customWidth="1"/>
    <col min="287" max="288" width="21.140625" style="6" bestFit="1" customWidth="1"/>
    <col min="289" max="289" width="40" style="6" bestFit="1" customWidth="1"/>
    <col min="290" max="291" width="16.5703125" style="6" bestFit="1" customWidth="1"/>
    <col min="292" max="292" width="35.42578125" style="6" bestFit="1" customWidth="1"/>
    <col min="293" max="294" width="21.140625" style="6" bestFit="1" customWidth="1"/>
    <col min="295" max="295" width="40" style="6" bestFit="1" customWidth="1"/>
    <col min="296" max="297" width="16.5703125" style="6" bestFit="1" customWidth="1"/>
    <col min="298" max="298" width="35.42578125" style="6" bestFit="1" customWidth="1"/>
    <col min="299" max="300" width="21.140625" style="6" bestFit="1" customWidth="1"/>
    <col min="301" max="301" width="40" style="6" bestFit="1" customWidth="1"/>
    <col min="302" max="303" width="16.5703125" style="6" bestFit="1" customWidth="1"/>
    <col min="304" max="304" width="35.42578125" style="6" bestFit="1" customWidth="1"/>
    <col min="305" max="306" width="21.140625" style="6" bestFit="1" customWidth="1"/>
    <col min="307" max="307" width="40" style="6" bestFit="1" customWidth="1"/>
    <col min="308" max="309" width="16.5703125" style="6" bestFit="1" customWidth="1"/>
    <col min="310" max="310" width="35.42578125" style="6" bestFit="1" customWidth="1"/>
    <col min="311" max="312" width="21.140625" style="6" bestFit="1" customWidth="1"/>
    <col min="313" max="313" width="40" style="6" bestFit="1" customWidth="1"/>
    <col min="314" max="315" width="16.5703125" style="6" bestFit="1" customWidth="1"/>
    <col min="316" max="316" width="35.42578125" style="6" bestFit="1" customWidth="1"/>
    <col min="317" max="318" width="21.140625" style="6" bestFit="1" customWidth="1"/>
    <col min="319" max="319" width="40" style="6" bestFit="1" customWidth="1"/>
    <col min="320" max="321" width="16.5703125" style="6" bestFit="1" customWidth="1"/>
    <col min="322" max="322" width="35.42578125" style="6" bestFit="1" customWidth="1"/>
    <col min="323" max="324" width="21.140625" style="6" bestFit="1" customWidth="1"/>
    <col min="325" max="325" width="40" style="6" bestFit="1" customWidth="1"/>
    <col min="326" max="327" width="16.5703125" style="6" bestFit="1" customWidth="1"/>
    <col min="328" max="328" width="35.42578125" style="6" bestFit="1" customWidth="1"/>
    <col min="329" max="330" width="21.140625" style="6" bestFit="1" customWidth="1"/>
    <col min="331" max="331" width="40" style="6" bestFit="1" customWidth="1"/>
    <col min="332" max="333" width="16.5703125" style="6" bestFit="1" customWidth="1"/>
    <col min="334" max="334" width="35.42578125" style="6" bestFit="1" customWidth="1"/>
    <col min="335" max="336" width="21.140625" style="6" bestFit="1" customWidth="1"/>
    <col min="337" max="337" width="40" style="6" bestFit="1" customWidth="1"/>
    <col min="338" max="339" width="16.5703125" style="6" bestFit="1" customWidth="1"/>
    <col min="340" max="340" width="35.42578125" style="6" bestFit="1" customWidth="1"/>
    <col min="341" max="342" width="21.140625" style="6" bestFit="1" customWidth="1"/>
    <col min="343" max="343" width="40" style="6" bestFit="1" customWidth="1"/>
    <col min="344" max="345" width="16.5703125" style="6" bestFit="1" customWidth="1"/>
    <col min="346" max="346" width="35.42578125" style="6" bestFit="1" customWidth="1"/>
    <col min="347" max="348" width="21.140625" style="6" bestFit="1" customWidth="1"/>
    <col min="349" max="349" width="40" style="6" bestFit="1" customWidth="1"/>
    <col min="350" max="351" width="16.5703125" style="6" bestFit="1" customWidth="1"/>
    <col min="352" max="352" width="35.42578125" style="6" bestFit="1" customWidth="1"/>
    <col min="353" max="354" width="21.140625" style="6" bestFit="1" customWidth="1"/>
    <col min="355" max="355" width="40" style="6" bestFit="1" customWidth="1"/>
    <col min="356" max="357" width="16.5703125" style="6" bestFit="1" customWidth="1"/>
    <col min="358" max="358" width="35.42578125" style="6" bestFit="1" customWidth="1"/>
    <col min="359" max="360" width="21.140625" style="6" bestFit="1" customWidth="1"/>
    <col min="361" max="361" width="40" style="6" bestFit="1" customWidth="1"/>
    <col min="362" max="363" width="16.5703125" style="6" bestFit="1" customWidth="1"/>
    <col min="364" max="364" width="35.42578125" style="6" bestFit="1" customWidth="1"/>
    <col min="365" max="366" width="21.140625" style="6" bestFit="1" customWidth="1"/>
    <col min="367" max="367" width="40" style="6" bestFit="1" customWidth="1"/>
    <col min="368" max="369" width="21.7109375" style="6" bestFit="1" customWidth="1"/>
    <col min="370" max="370" width="40.42578125" style="6" bestFit="1" customWidth="1"/>
    <col min="371" max="16384" width="9.140625" style="6"/>
  </cols>
  <sheetData>
    <row r="3" spans="1:6" x14ac:dyDescent="0.25">
      <c r="A3" s="6" t="s">
        <v>264</v>
      </c>
      <c r="B3" s="6" t="s">
        <v>266</v>
      </c>
      <c r="C3" s="6" t="s">
        <v>260</v>
      </c>
      <c r="D3" s="6" t="s">
        <v>261</v>
      </c>
      <c r="E3" s="6" t="s">
        <v>262</v>
      </c>
      <c r="F3" s="6" t="s">
        <v>263</v>
      </c>
    </row>
    <row r="4" spans="1:6" x14ac:dyDescent="0.25">
      <c r="A4" s="7" t="s">
        <v>218</v>
      </c>
      <c r="B4" s="6">
        <v>870</v>
      </c>
      <c r="C4" s="6">
        <v>2428</v>
      </c>
      <c r="D4" s="6">
        <v>7386</v>
      </c>
      <c r="E4" s="6">
        <v>8835</v>
      </c>
      <c r="F4" s="6">
        <v>9766</v>
      </c>
    </row>
    <row r="5" spans="1:6" x14ac:dyDescent="0.25">
      <c r="A5" s="7" t="s">
        <v>258</v>
      </c>
      <c r="B5" s="6">
        <v>1014</v>
      </c>
      <c r="C5" s="6">
        <v>2254</v>
      </c>
      <c r="D5" s="6">
        <v>4534</v>
      </c>
      <c r="E5" s="6">
        <v>6796</v>
      </c>
      <c r="F5" s="6">
        <v>7730</v>
      </c>
    </row>
    <row r="6" spans="1:6" x14ac:dyDescent="0.25">
      <c r="A6" s="7" t="s">
        <v>189</v>
      </c>
      <c r="B6" s="6">
        <v>8891</v>
      </c>
      <c r="C6" s="6">
        <v>5952</v>
      </c>
      <c r="D6" s="6">
        <v>5914</v>
      </c>
      <c r="E6" s="6">
        <v>5405</v>
      </c>
      <c r="F6" s="6">
        <v>4031</v>
      </c>
    </row>
    <row r="7" spans="1:6" x14ac:dyDescent="0.25">
      <c r="A7" s="7" t="s">
        <v>100</v>
      </c>
      <c r="B7" s="6">
        <v>238</v>
      </c>
      <c r="C7" s="6">
        <v>1235</v>
      </c>
      <c r="D7" s="6">
        <v>1822</v>
      </c>
      <c r="E7" s="6">
        <v>7074</v>
      </c>
      <c r="F7" s="6">
        <v>8207</v>
      </c>
    </row>
    <row r="8" spans="1:6" x14ac:dyDescent="0.25">
      <c r="A8" s="7" t="s">
        <v>96</v>
      </c>
      <c r="B8" s="6">
        <v>73</v>
      </c>
      <c r="C8" s="6">
        <v>3485</v>
      </c>
      <c r="D8" s="6">
        <v>4592</v>
      </c>
      <c r="E8" s="6">
        <v>5143</v>
      </c>
      <c r="F8" s="6">
        <v>8100</v>
      </c>
    </row>
    <row r="9" spans="1:6" x14ac:dyDescent="0.25">
      <c r="A9" s="7" t="s">
        <v>153</v>
      </c>
      <c r="B9" s="6">
        <v>3297</v>
      </c>
      <c r="C9" s="6">
        <v>4866</v>
      </c>
      <c r="D9" s="6">
        <v>4928</v>
      </c>
      <c r="E9" s="6">
        <v>8451</v>
      </c>
      <c r="F9" s="6">
        <v>9585</v>
      </c>
    </row>
    <row r="10" spans="1:6" x14ac:dyDescent="0.25">
      <c r="A10" s="7" t="s">
        <v>242</v>
      </c>
      <c r="B10" s="6">
        <v>128</v>
      </c>
      <c r="C10" s="6">
        <v>416</v>
      </c>
      <c r="D10" s="6">
        <v>747</v>
      </c>
      <c r="E10" s="6">
        <v>1028</v>
      </c>
      <c r="F10" s="6">
        <v>6357</v>
      </c>
    </row>
    <row r="11" spans="1:6" x14ac:dyDescent="0.25">
      <c r="A11" s="7" t="s">
        <v>181</v>
      </c>
      <c r="B11" s="6">
        <v>7840</v>
      </c>
      <c r="C11" s="6">
        <v>5804</v>
      </c>
      <c r="D11" s="6">
        <v>4259</v>
      </c>
      <c r="E11" s="6">
        <v>4243</v>
      </c>
      <c r="F11" s="6">
        <v>907</v>
      </c>
    </row>
    <row r="12" spans="1:6" x14ac:dyDescent="0.25">
      <c r="A12" s="7" t="s">
        <v>104</v>
      </c>
      <c r="B12" s="6">
        <v>1368</v>
      </c>
      <c r="C12" s="6">
        <v>3447</v>
      </c>
      <c r="D12" s="6">
        <v>4535</v>
      </c>
      <c r="E12" s="6">
        <v>5476</v>
      </c>
      <c r="F12" s="6">
        <v>9983</v>
      </c>
    </row>
    <row r="13" spans="1:6" x14ac:dyDescent="0.25">
      <c r="A13" s="7" t="s">
        <v>88</v>
      </c>
      <c r="B13" s="6">
        <v>700</v>
      </c>
      <c r="C13" s="6">
        <v>5721</v>
      </c>
      <c r="D13" s="6">
        <v>6247</v>
      </c>
      <c r="E13" s="6">
        <v>8495</v>
      </c>
      <c r="F13" s="6">
        <v>9236</v>
      </c>
    </row>
    <row r="14" spans="1:6" x14ac:dyDescent="0.25">
      <c r="A14" s="7" t="s">
        <v>206</v>
      </c>
      <c r="B14" s="6">
        <v>299</v>
      </c>
      <c r="C14" s="6">
        <v>657</v>
      </c>
      <c r="D14" s="6">
        <v>6238</v>
      </c>
      <c r="E14" s="6">
        <v>8922</v>
      </c>
      <c r="F14" s="6">
        <v>9081</v>
      </c>
    </row>
    <row r="15" spans="1:6" x14ac:dyDescent="0.25">
      <c r="A15" s="7" t="s">
        <v>79</v>
      </c>
      <c r="B15" s="6">
        <v>3501</v>
      </c>
      <c r="C15" s="6">
        <v>7079</v>
      </c>
      <c r="D15" s="6">
        <v>7438</v>
      </c>
      <c r="E15" s="6">
        <v>7443</v>
      </c>
      <c r="F15" s="6">
        <v>9225</v>
      </c>
    </row>
    <row r="16" spans="1:6" x14ac:dyDescent="0.25">
      <c r="A16" s="7" t="s">
        <v>234</v>
      </c>
      <c r="B16" s="6">
        <v>1357</v>
      </c>
      <c r="C16" s="6">
        <v>4189</v>
      </c>
      <c r="D16" s="6">
        <v>5407</v>
      </c>
      <c r="E16" s="6">
        <v>6233</v>
      </c>
      <c r="F16" s="6">
        <v>9681</v>
      </c>
    </row>
    <row r="17" spans="1:6" x14ac:dyDescent="0.25">
      <c r="A17" s="7" t="s">
        <v>197</v>
      </c>
      <c r="B17" s="6">
        <v>431</v>
      </c>
      <c r="C17" s="6">
        <v>6231</v>
      </c>
      <c r="D17" s="6">
        <v>7478</v>
      </c>
      <c r="E17" s="6">
        <v>8039</v>
      </c>
      <c r="F17" s="6">
        <v>8271</v>
      </c>
    </row>
    <row r="18" spans="1:6" x14ac:dyDescent="0.25">
      <c r="A18" s="7" t="s">
        <v>71</v>
      </c>
      <c r="B18" s="6">
        <v>861</v>
      </c>
      <c r="C18" s="6">
        <v>1314</v>
      </c>
      <c r="D18" s="6">
        <v>1810</v>
      </c>
      <c r="E18" s="6">
        <v>6510</v>
      </c>
      <c r="F18" s="6">
        <v>9271</v>
      </c>
    </row>
    <row r="19" spans="1:6" x14ac:dyDescent="0.25">
      <c r="A19" s="7" t="s">
        <v>128</v>
      </c>
      <c r="B19" s="6">
        <v>6309</v>
      </c>
      <c r="C19" s="6">
        <v>6227</v>
      </c>
      <c r="D19" s="6">
        <v>5123</v>
      </c>
      <c r="E19" s="6">
        <v>4968</v>
      </c>
      <c r="F19" s="6">
        <v>3857</v>
      </c>
    </row>
    <row r="20" spans="1:6" x14ac:dyDescent="0.25">
      <c r="A20" s="7" t="s">
        <v>3</v>
      </c>
      <c r="B20" s="6">
        <v>2017</v>
      </c>
      <c r="C20" s="6">
        <v>2018</v>
      </c>
      <c r="D20" s="6">
        <v>2019</v>
      </c>
      <c r="E20" s="6">
        <v>2020</v>
      </c>
      <c r="F20" s="6">
        <v>2021</v>
      </c>
    </row>
    <row r="21" spans="1:6" x14ac:dyDescent="0.25">
      <c r="A21" s="7" t="s">
        <v>132</v>
      </c>
      <c r="B21" s="6">
        <v>712</v>
      </c>
      <c r="C21" s="6">
        <v>4182</v>
      </c>
      <c r="D21" s="6">
        <v>6087</v>
      </c>
      <c r="E21" s="6">
        <v>7494</v>
      </c>
      <c r="F21" s="6">
        <v>8599</v>
      </c>
    </row>
    <row r="22" spans="1:6" x14ac:dyDescent="0.25">
      <c r="A22" s="7" t="s">
        <v>173</v>
      </c>
      <c r="B22" s="6">
        <v>488</v>
      </c>
      <c r="C22" s="6">
        <v>5535</v>
      </c>
      <c r="D22" s="6">
        <v>5775</v>
      </c>
      <c r="E22" s="6">
        <v>7661</v>
      </c>
      <c r="F22" s="6">
        <v>9206</v>
      </c>
    </row>
    <row r="23" spans="1:6" x14ac:dyDescent="0.25">
      <c r="A23" s="7" t="s">
        <v>210</v>
      </c>
      <c r="B23" s="6">
        <v>1323</v>
      </c>
      <c r="C23" s="6">
        <v>4963</v>
      </c>
      <c r="D23" s="6">
        <v>6292</v>
      </c>
      <c r="E23" s="6">
        <v>6728</v>
      </c>
      <c r="F23" s="6">
        <v>8202</v>
      </c>
    </row>
    <row r="24" spans="1:6" x14ac:dyDescent="0.25">
      <c r="A24" s="7" t="s">
        <v>16</v>
      </c>
      <c r="B24" s="6">
        <v>1982</v>
      </c>
      <c r="C24" s="6">
        <v>5388</v>
      </c>
      <c r="D24" s="6">
        <v>7063</v>
      </c>
      <c r="E24" s="6">
        <v>7208</v>
      </c>
      <c r="F24" s="6">
        <v>9093</v>
      </c>
    </row>
    <row r="25" spans="1:6" x14ac:dyDescent="0.25">
      <c r="A25" s="7" t="s">
        <v>59</v>
      </c>
      <c r="B25" s="6">
        <v>7555</v>
      </c>
      <c r="C25" s="6">
        <v>6551</v>
      </c>
      <c r="D25" s="6">
        <v>5188</v>
      </c>
      <c r="E25" s="6">
        <v>3436</v>
      </c>
      <c r="F25" s="6">
        <v>2359</v>
      </c>
    </row>
    <row r="26" spans="1:6" x14ac:dyDescent="0.25">
      <c r="A26" s="7" t="s">
        <v>230</v>
      </c>
      <c r="B26" s="6">
        <v>9791</v>
      </c>
      <c r="C26" s="6">
        <v>9610</v>
      </c>
      <c r="D26" s="6">
        <v>7534</v>
      </c>
      <c r="E26" s="6">
        <v>5080</v>
      </c>
      <c r="F26" s="6">
        <v>4936</v>
      </c>
    </row>
    <row r="27" spans="1:6" x14ac:dyDescent="0.25">
      <c r="A27" s="7" t="s">
        <v>55</v>
      </c>
      <c r="B27" s="6">
        <v>1530</v>
      </c>
      <c r="C27" s="6">
        <v>1620</v>
      </c>
      <c r="D27" s="6">
        <v>2027</v>
      </c>
      <c r="E27" s="6">
        <v>4881</v>
      </c>
      <c r="F27" s="6">
        <v>6002</v>
      </c>
    </row>
    <row r="28" spans="1:6" x14ac:dyDescent="0.25">
      <c r="A28" s="7" t="s">
        <v>149</v>
      </c>
      <c r="B28" s="6">
        <v>8873</v>
      </c>
      <c r="C28" s="6">
        <v>8484</v>
      </c>
      <c r="D28" s="6">
        <v>7883</v>
      </c>
      <c r="E28" s="6">
        <v>7499</v>
      </c>
      <c r="F28" s="6">
        <v>6592</v>
      </c>
    </row>
    <row r="29" spans="1:6" x14ac:dyDescent="0.25">
      <c r="A29" s="7" t="s">
        <v>84</v>
      </c>
      <c r="B29" s="6">
        <v>3916</v>
      </c>
      <c r="C29" s="6">
        <v>4218</v>
      </c>
      <c r="D29" s="6">
        <v>5072</v>
      </c>
      <c r="E29" s="6">
        <v>5201</v>
      </c>
      <c r="F29" s="6">
        <v>7588</v>
      </c>
    </row>
    <row r="30" spans="1:6" x14ac:dyDescent="0.25">
      <c r="A30" s="7" t="s">
        <v>63</v>
      </c>
      <c r="B30" s="6">
        <v>1532</v>
      </c>
      <c r="C30" s="6">
        <v>2678</v>
      </c>
      <c r="D30" s="6">
        <v>4068</v>
      </c>
      <c r="E30" s="6">
        <v>4278</v>
      </c>
      <c r="F30" s="6">
        <v>5382</v>
      </c>
    </row>
    <row r="31" spans="1:6" x14ac:dyDescent="0.25">
      <c r="A31" s="7" t="s">
        <v>238</v>
      </c>
      <c r="B31" s="6">
        <v>576</v>
      </c>
      <c r="C31" s="6">
        <v>2628</v>
      </c>
      <c r="D31" s="6">
        <v>3612</v>
      </c>
      <c r="E31" s="6">
        <v>5066</v>
      </c>
      <c r="F31" s="6">
        <v>5156</v>
      </c>
    </row>
    <row r="32" spans="1:6" x14ac:dyDescent="0.25">
      <c r="A32" s="7" t="s">
        <v>140</v>
      </c>
      <c r="B32" s="6">
        <v>2519</v>
      </c>
      <c r="C32" s="6">
        <v>3938</v>
      </c>
      <c r="D32" s="6">
        <v>5190</v>
      </c>
      <c r="E32" s="6">
        <v>8203</v>
      </c>
      <c r="F32" s="6">
        <v>8780</v>
      </c>
    </row>
    <row r="33" spans="1:6" x14ac:dyDescent="0.25">
      <c r="A33" s="7" t="s">
        <v>165</v>
      </c>
      <c r="B33" s="6">
        <v>742</v>
      </c>
      <c r="C33" s="6">
        <v>3751</v>
      </c>
      <c r="D33" s="6">
        <v>4423</v>
      </c>
      <c r="E33" s="6">
        <v>8733</v>
      </c>
      <c r="F33" s="6">
        <v>9909</v>
      </c>
    </row>
    <row r="34" spans="1:6" x14ac:dyDescent="0.25">
      <c r="A34" s="7" t="s">
        <v>47</v>
      </c>
      <c r="B34" s="6">
        <v>1581</v>
      </c>
      <c r="C34" s="6">
        <v>4799</v>
      </c>
      <c r="D34" s="6">
        <v>6582</v>
      </c>
      <c r="E34" s="6">
        <v>9024</v>
      </c>
      <c r="F34" s="6">
        <v>9759</v>
      </c>
    </row>
    <row r="35" spans="1:6" x14ac:dyDescent="0.25">
      <c r="A35" s="7" t="s">
        <v>92</v>
      </c>
      <c r="B35" s="6">
        <v>9773</v>
      </c>
      <c r="C35" s="6">
        <v>9179</v>
      </c>
      <c r="D35" s="6">
        <v>8390</v>
      </c>
      <c r="E35" s="6">
        <v>8256</v>
      </c>
      <c r="F35" s="6">
        <v>3815</v>
      </c>
    </row>
    <row r="36" spans="1:6" x14ac:dyDescent="0.25">
      <c r="A36" s="7" t="s">
        <v>136</v>
      </c>
      <c r="B36" s="6">
        <v>2390</v>
      </c>
      <c r="C36" s="6">
        <v>2415</v>
      </c>
      <c r="D36" s="6">
        <v>3461</v>
      </c>
      <c r="E36" s="6">
        <v>3850</v>
      </c>
      <c r="F36" s="6">
        <v>4657</v>
      </c>
    </row>
    <row r="37" spans="1:6" x14ac:dyDescent="0.25">
      <c r="A37" s="7" t="s">
        <v>116</v>
      </c>
      <c r="B37" s="6">
        <v>570</v>
      </c>
      <c r="C37" s="6">
        <v>1322</v>
      </c>
      <c r="D37" s="6">
        <v>7279</v>
      </c>
      <c r="E37" s="6">
        <v>8443</v>
      </c>
      <c r="F37" s="6">
        <v>9571</v>
      </c>
    </row>
    <row r="38" spans="1:6" x14ac:dyDescent="0.25">
      <c r="A38" s="7" t="s">
        <v>75</v>
      </c>
      <c r="B38" s="6">
        <v>9058</v>
      </c>
      <c r="C38" s="6">
        <v>4839</v>
      </c>
      <c r="D38" s="6">
        <v>4776</v>
      </c>
      <c r="E38" s="6">
        <v>4024</v>
      </c>
      <c r="F38" s="6">
        <v>369</v>
      </c>
    </row>
    <row r="39" spans="1:6" x14ac:dyDescent="0.25">
      <c r="A39" s="7" t="s">
        <v>254</v>
      </c>
      <c r="B39" s="6">
        <v>1032</v>
      </c>
      <c r="C39" s="6">
        <v>3919</v>
      </c>
      <c r="D39" s="6">
        <v>4466</v>
      </c>
      <c r="E39" s="6">
        <v>5568</v>
      </c>
      <c r="F39" s="6">
        <v>6476</v>
      </c>
    </row>
    <row r="40" spans="1:6" x14ac:dyDescent="0.25">
      <c r="A40" s="7" t="s">
        <v>169</v>
      </c>
      <c r="B40" s="6">
        <v>7703</v>
      </c>
      <c r="C40" s="6">
        <v>6957</v>
      </c>
      <c r="D40" s="6">
        <v>3898</v>
      </c>
      <c r="E40" s="6">
        <v>1857</v>
      </c>
      <c r="F40" s="6">
        <v>1512</v>
      </c>
    </row>
    <row r="41" spans="1:6" x14ac:dyDescent="0.25">
      <c r="A41" s="7" t="s">
        <v>177</v>
      </c>
      <c r="B41" s="6">
        <v>376</v>
      </c>
      <c r="C41" s="6">
        <v>889</v>
      </c>
      <c r="D41" s="6">
        <v>4373</v>
      </c>
      <c r="E41" s="6">
        <v>6803</v>
      </c>
      <c r="F41" s="6">
        <v>7578</v>
      </c>
    </row>
    <row r="42" spans="1:6" x14ac:dyDescent="0.25">
      <c r="A42" s="7" t="s">
        <v>22</v>
      </c>
      <c r="B42" s="6">
        <v>2786</v>
      </c>
      <c r="C42" s="6">
        <v>3804</v>
      </c>
      <c r="D42" s="6">
        <v>4121</v>
      </c>
      <c r="E42" s="6">
        <v>6210</v>
      </c>
      <c r="F42" s="6">
        <v>6909</v>
      </c>
    </row>
    <row r="43" spans="1:6" x14ac:dyDescent="0.25">
      <c r="A43" s="7" t="s">
        <v>157</v>
      </c>
      <c r="B43" s="6">
        <v>1092</v>
      </c>
      <c r="C43" s="6">
        <v>3140</v>
      </c>
      <c r="D43" s="6">
        <v>4123</v>
      </c>
      <c r="E43" s="6">
        <v>4366</v>
      </c>
      <c r="F43" s="6">
        <v>9482</v>
      </c>
    </row>
    <row r="44" spans="1:6" x14ac:dyDescent="0.25">
      <c r="A44" s="7" t="s">
        <v>43</v>
      </c>
      <c r="B44" s="6">
        <v>9252</v>
      </c>
      <c r="C44" s="6">
        <v>8499</v>
      </c>
      <c r="D44" s="6">
        <v>991</v>
      </c>
      <c r="E44" s="6">
        <v>448</v>
      </c>
      <c r="F44" s="6">
        <v>211</v>
      </c>
    </row>
    <row r="45" spans="1:6" x14ac:dyDescent="0.25">
      <c r="A45" s="7" t="s">
        <v>193</v>
      </c>
      <c r="B45" s="6">
        <v>1290</v>
      </c>
      <c r="C45" s="6">
        <v>4033</v>
      </c>
      <c r="D45" s="6">
        <v>6956</v>
      </c>
      <c r="E45" s="6">
        <v>7929</v>
      </c>
      <c r="F45" s="6">
        <v>8834</v>
      </c>
    </row>
    <row r="46" spans="1:6" x14ac:dyDescent="0.25">
      <c r="A46" s="7" t="s">
        <v>124</v>
      </c>
      <c r="B46" s="6">
        <v>209</v>
      </c>
      <c r="C46" s="6">
        <v>621</v>
      </c>
      <c r="D46" s="6">
        <v>3098</v>
      </c>
      <c r="E46" s="6">
        <v>7118</v>
      </c>
      <c r="F46" s="6">
        <v>8433</v>
      </c>
    </row>
    <row r="47" spans="1:6" x14ac:dyDescent="0.25">
      <c r="A47" s="7" t="s">
        <v>112</v>
      </c>
      <c r="B47" s="6">
        <v>1779</v>
      </c>
      <c r="C47" s="6">
        <v>2124</v>
      </c>
      <c r="D47" s="6">
        <v>2844</v>
      </c>
      <c r="E47" s="6">
        <v>6877</v>
      </c>
      <c r="F47" s="6">
        <v>9570</v>
      </c>
    </row>
    <row r="48" spans="1:6" x14ac:dyDescent="0.25">
      <c r="A48" s="7" t="s">
        <v>108</v>
      </c>
      <c r="B48" s="6">
        <v>8331</v>
      </c>
      <c r="C48" s="6">
        <v>7667</v>
      </c>
      <c r="D48" s="6">
        <v>5952</v>
      </c>
      <c r="E48" s="6">
        <v>1998</v>
      </c>
      <c r="F48" s="6">
        <v>375</v>
      </c>
    </row>
    <row r="49" spans="1:6" x14ac:dyDescent="0.25">
      <c r="A49" s="7" t="s">
        <v>222</v>
      </c>
      <c r="B49" s="6">
        <v>1497</v>
      </c>
      <c r="C49" s="6">
        <v>1768</v>
      </c>
      <c r="D49" s="6">
        <v>2804</v>
      </c>
      <c r="E49" s="6">
        <v>5718</v>
      </c>
      <c r="F49" s="6">
        <v>9822</v>
      </c>
    </row>
    <row r="50" spans="1:6" x14ac:dyDescent="0.25">
      <c r="A50" s="7" t="s">
        <v>145</v>
      </c>
      <c r="B50" s="6">
        <v>138</v>
      </c>
      <c r="C50" s="6">
        <v>286</v>
      </c>
      <c r="D50" s="6">
        <v>6750</v>
      </c>
      <c r="E50" s="6">
        <v>8254</v>
      </c>
      <c r="F50" s="6">
        <v>8656</v>
      </c>
    </row>
    <row r="51" spans="1:6" x14ac:dyDescent="0.25">
      <c r="A51" s="7" t="s">
        <v>201</v>
      </c>
      <c r="B51" s="6">
        <v>8156</v>
      </c>
      <c r="C51" s="6">
        <v>1245</v>
      </c>
      <c r="D51" s="6">
        <v>791</v>
      </c>
      <c r="E51" s="6">
        <v>338</v>
      </c>
      <c r="F51" s="6">
        <v>44</v>
      </c>
    </row>
    <row r="52" spans="1:6" x14ac:dyDescent="0.25">
      <c r="A52" s="7" t="s">
        <v>120</v>
      </c>
      <c r="B52" s="6">
        <v>6156</v>
      </c>
      <c r="C52" s="6">
        <v>6110</v>
      </c>
      <c r="D52" s="6">
        <v>5791</v>
      </c>
      <c r="E52" s="6">
        <v>1759</v>
      </c>
      <c r="F52" s="6">
        <v>969</v>
      </c>
    </row>
    <row r="53" spans="1:6" x14ac:dyDescent="0.25">
      <c r="A53" s="7" t="s">
        <v>39</v>
      </c>
      <c r="B53" s="6">
        <v>2341</v>
      </c>
      <c r="C53" s="6">
        <v>6105</v>
      </c>
      <c r="D53" s="6">
        <v>7777</v>
      </c>
      <c r="E53" s="6">
        <v>7891</v>
      </c>
      <c r="F53" s="6">
        <v>8758</v>
      </c>
    </row>
    <row r="54" spans="1:6" x14ac:dyDescent="0.25">
      <c r="A54" s="7" t="s">
        <v>246</v>
      </c>
      <c r="B54" s="6">
        <v>8034</v>
      </c>
      <c r="C54" s="6">
        <v>6541</v>
      </c>
      <c r="D54" s="6">
        <v>3311</v>
      </c>
      <c r="E54" s="6">
        <v>3254</v>
      </c>
      <c r="F54" s="6">
        <v>2687</v>
      </c>
    </row>
    <row r="55" spans="1:6" x14ac:dyDescent="0.25">
      <c r="A55" s="7" t="s">
        <v>250</v>
      </c>
      <c r="B55" s="6">
        <v>1263</v>
      </c>
      <c r="C55" s="6">
        <v>2517</v>
      </c>
      <c r="D55" s="6">
        <v>8042</v>
      </c>
      <c r="E55" s="6">
        <v>8222</v>
      </c>
      <c r="F55" s="6">
        <v>9686</v>
      </c>
    </row>
    <row r="56" spans="1:6" x14ac:dyDescent="0.25">
      <c r="A56" s="7" t="s">
        <v>35</v>
      </c>
      <c r="B56" s="6">
        <v>1421</v>
      </c>
      <c r="C56" s="6">
        <v>1893</v>
      </c>
      <c r="D56" s="6">
        <v>2722</v>
      </c>
      <c r="E56" s="6">
        <v>4410</v>
      </c>
      <c r="F56" s="6">
        <v>5873</v>
      </c>
    </row>
    <row r="57" spans="1:6" x14ac:dyDescent="0.25">
      <c r="A57" s="7" t="s">
        <v>185</v>
      </c>
      <c r="B57" s="6">
        <v>1038</v>
      </c>
      <c r="C57" s="6">
        <v>3615</v>
      </c>
      <c r="D57" s="6">
        <v>3712</v>
      </c>
      <c r="E57" s="6">
        <v>5819</v>
      </c>
      <c r="F57" s="6">
        <v>9589</v>
      </c>
    </row>
    <row r="58" spans="1:6" x14ac:dyDescent="0.25">
      <c r="A58" s="7" t="s">
        <v>161</v>
      </c>
      <c r="B58" s="6">
        <v>2541</v>
      </c>
      <c r="C58" s="6">
        <v>3794</v>
      </c>
      <c r="D58" s="6">
        <v>3984</v>
      </c>
      <c r="E58" s="6">
        <v>8803</v>
      </c>
      <c r="F58" s="6">
        <v>9338</v>
      </c>
    </row>
    <row r="59" spans="1:6" x14ac:dyDescent="0.25">
      <c r="A59" s="7" t="s">
        <v>31</v>
      </c>
      <c r="B59" s="6">
        <v>906</v>
      </c>
      <c r="C59" s="6">
        <v>1251</v>
      </c>
      <c r="D59" s="6">
        <v>2897</v>
      </c>
      <c r="E59" s="6">
        <v>4499</v>
      </c>
      <c r="F59" s="6">
        <v>9428</v>
      </c>
    </row>
    <row r="60" spans="1:6" x14ac:dyDescent="0.25">
      <c r="A60" s="7" t="s">
        <v>214</v>
      </c>
      <c r="B60" s="6">
        <v>8466</v>
      </c>
      <c r="C60" s="6">
        <v>4079</v>
      </c>
      <c r="D60" s="6">
        <v>2797</v>
      </c>
      <c r="E60" s="6">
        <v>2245</v>
      </c>
      <c r="F60" s="6">
        <v>1696</v>
      </c>
    </row>
    <row r="61" spans="1:6" x14ac:dyDescent="0.25">
      <c r="A61" s="7" t="s">
        <v>226</v>
      </c>
      <c r="B61" s="6">
        <v>1082</v>
      </c>
      <c r="C61" s="6">
        <v>3353</v>
      </c>
      <c r="D61" s="6">
        <v>6351</v>
      </c>
      <c r="E61" s="6">
        <v>8550</v>
      </c>
      <c r="F61" s="6">
        <v>9272</v>
      </c>
    </row>
    <row r="62" spans="1:6" x14ac:dyDescent="0.25">
      <c r="A62" s="7" t="s">
        <v>67</v>
      </c>
      <c r="B62" s="6">
        <v>24</v>
      </c>
      <c r="C62" s="6">
        <v>1797</v>
      </c>
      <c r="D62" s="6">
        <v>3548</v>
      </c>
      <c r="E62" s="6">
        <v>3668</v>
      </c>
      <c r="F62" s="6">
        <v>8592</v>
      </c>
    </row>
    <row r="63" spans="1:6" x14ac:dyDescent="0.25">
      <c r="A63" s="7" t="s">
        <v>51</v>
      </c>
      <c r="B63" s="6">
        <v>9766</v>
      </c>
      <c r="C63" s="6">
        <v>8049</v>
      </c>
      <c r="D63" s="6">
        <v>5556</v>
      </c>
      <c r="E63" s="6">
        <v>5202</v>
      </c>
      <c r="F63" s="6">
        <v>2373</v>
      </c>
    </row>
    <row r="64" spans="1:6" x14ac:dyDescent="0.25">
      <c r="A64" s="7" t="s">
        <v>27</v>
      </c>
      <c r="B64" s="6">
        <v>1209</v>
      </c>
      <c r="C64" s="6">
        <v>1534</v>
      </c>
      <c r="D64" s="6">
        <v>1634</v>
      </c>
      <c r="E64" s="6">
        <v>4302</v>
      </c>
      <c r="F64" s="6">
        <v>9768</v>
      </c>
    </row>
    <row r="65" spans="1:6" x14ac:dyDescent="0.25">
      <c r="A65" s="7" t="s">
        <v>265</v>
      </c>
      <c r="B65" s="6">
        <v>191993</v>
      </c>
      <c r="C65" s="6">
        <v>245013</v>
      </c>
      <c r="D65" s="6">
        <v>290468</v>
      </c>
      <c r="E65" s="6">
        <v>352254</v>
      </c>
      <c r="F65" s="6">
        <v>411215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B086C-A415-4735-B36A-95FDECF3BB02}">
  <dimension ref="A1:R64"/>
  <sheetViews>
    <sheetView tabSelected="1" workbookViewId="0">
      <selection activeCell="G13" sqref="A13:XFD13"/>
    </sheetView>
  </sheetViews>
  <sheetFormatPr defaultRowHeight="15" x14ac:dyDescent="0.25"/>
  <cols>
    <col min="1" max="1" width="13.7109375" customWidth="1"/>
    <col min="2" max="2" width="41.140625" customWidth="1"/>
    <col min="3" max="3" width="21.140625" customWidth="1"/>
    <col min="4" max="4" width="16.7109375" customWidth="1"/>
    <col min="5" max="5" width="21.140625" customWidth="1"/>
    <col min="6" max="6" width="15" customWidth="1"/>
    <col min="7" max="7" width="13.140625" customWidth="1"/>
    <col min="8" max="8" width="12.28515625" customWidth="1"/>
    <col min="9" max="9" width="32.140625" customWidth="1"/>
    <col min="10" max="10" width="11" customWidth="1"/>
    <col min="11" max="11" width="15.5703125" customWidth="1"/>
    <col min="12" max="12" width="12" customWidth="1"/>
    <col min="13" max="13" width="30.140625" customWidth="1"/>
    <col min="14" max="18" width="12" customWidth="1"/>
  </cols>
  <sheetData>
    <row r="1" spans="1:18" ht="18.75" x14ac:dyDescent="0.3">
      <c r="A1" s="2" t="s">
        <v>0</v>
      </c>
    </row>
    <row r="3" spans="1:18" x14ac:dyDescent="0.25">
      <c r="A3" s="1" t="s">
        <v>1</v>
      </c>
      <c r="B3" s="1" t="s">
        <v>2</v>
      </c>
      <c r="C3" s="1" t="s">
        <v>3</v>
      </c>
      <c r="D3" s="1" t="s">
        <v>4</v>
      </c>
      <c r="E3" s="1" t="s">
        <v>5</v>
      </c>
      <c r="F3" s="1" t="s">
        <v>6</v>
      </c>
      <c r="G3" s="1" t="s">
        <v>7</v>
      </c>
      <c r="H3" s="1" t="s">
        <v>8</v>
      </c>
      <c r="I3" s="1" t="s">
        <v>9</v>
      </c>
      <c r="J3" s="1" t="s">
        <v>10</v>
      </c>
      <c r="K3" s="1" t="s">
        <v>11</v>
      </c>
      <c r="L3" s="1" t="s">
        <v>12</v>
      </c>
      <c r="M3" s="1" t="s">
        <v>269</v>
      </c>
      <c r="N3" s="1" t="s">
        <v>270</v>
      </c>
      <c r="O3" s="1" t="s">
        <v>271</v>
      </c>
      <c r="P3" s="1" t="s">
        <v>272</v>
      </c>
      <c r="Q3" s="1" t="s">
        <v>273</v>
      </c>
      <c r="R3" s="1" t="s">
        <v>13</v>
      </c>
    </row>
    <row r="5" spans="1:18" x14ac:dyDescent="0.25">
      <c r="A5" t="s">
        <v>14</v>
      </c>
      <c r="B5" t="s">
        <v>15</v>
      </c>
      <c r="C5" t="s">
        <v>16</v>
      </c>
      <c r="D5" t="s">
        <v>17</v>
      </c>
      <c r="E5" t="s">
        <v>18</v>
      </c>
      <c r="F5" t="s">
        <v>19</v>
      </c>
      <c r="G5" t="s">
        <v>19</v>
      </c>
      <c r="H5" t="s">
        <v>19</v>
      </c>
      <c r="I5" t="s">
        <v>19</v>
      </c>
      <c r="J5" t="s">
        <v>19</v>
      </c>
      <c r="K5" t="s">
        <v>19</v>
      </c>
      <c r="L5" t="s">
        <v>19</v>
      </c>
      <c r="M5">
        <v>1982</v>
      </c>
      <c r="N5">
        <v>5388</v>
      </c>
      <c r="O5">
        <v>7063</v>
      </c>
      <c r="P5">
        <v>7208</v>
      </c>
      <c r="Q5">
        <v>9093</v>
      </c>
      <c r="R5" s="3">
        <f t="shared" ref="R5:R36" si="0">_xlfn.RRI($Q$3-$M$3,M5,Q5)</f>
        <v>0.46352749292411066</v>
      </c>
    </row>
    <row r="6" spans="1:18" x14ac:dyDescent="0.25">
      <c r="A6" t="s">
        <v>20</v>
      </c>
      <c r="B6" t="s">
        <v>21</v>
      </c>
      <c r="C6" t="s">
        <v>22</v>
      </c>
      <c r="D6" t="s">
        <v>23</v>
      </c>
      <c r="E6" t="s">
        <v>18</v>
      </c>
      <c r="F6" t="s">
        <v>19</v>
      </c>
      <c r="G6" t="s">
        <v>19</v>
      </c>
      <c r="H6" t="s">
        <v>19</v>
      </c>
      <c r="I6" t="s">
        <v>24</v>
      </c>
      <c r="J6" t="s">
        <v>19</v>
      </c>
      <c r="K6" t="s">
        <v>19</v>
      </c>
      <c r="L6" t="s">
        <v>19</v>
      </c>
      <c r="M6">
        <v>2786</v>
      </c>
      <c r="N6">
        <v>3804</v>
      </c>
      <c r="O6">
        <v>4121</v>
      </c>
      <c r="P6">
        <v>6210</v>
      </c>
      <c r="Q6">
        <v>6909</v>
      </c>
      <c r="R6" s="3">
        <f t="shared" si="0"/>
        <v>0.25489826874508914</v>
      </c>
    </row>
    <row r="7" spans="1:18" x14ac:dyDescent="0.25">
      <c r="A7" t="s">
        <v>25</v>
      </c>
      <c r="B7" t="s">
        <v>26</v>
      </c>
      <c r="C7" t="s">
        <v>27</v>
      </c>
      <c r="D7" t="s">
        <v>28</v>
      </c>
      <c r="E7" t="s">
        <v>18</v>
      </c>
      <c r="F7" t="s">
        <v>19</v>
      </c>
      <c r="G7" t="s">
        <v>19</v>
      </c>
      <c r="H7" t="s">
        <v>19</v>
      </c>
      <c r="I7" t="s">
        <v>19</v>
      </c>
      <c r="J7" t="s">
        <v>19</v>
      </c>
      <c r="K7" t="s">
        <v>19</v>
      </c>
      <c r="L7" t="s">
        <v>19</v>
      </c>
      <c r="M7">
        <v>1209</v>
      </c>
      <c r="N7">
        <v>1534</v>
      </c>
      <c r="O7">
        <v>1634</v>
      </c>
      <c r="P7">
        <v>4302</v>
      </c>
      <c r="Q7">
        <v>9768</v>
      </c>
      <c r="R7" s="3">
        <f t="shared" si="0"/>
        <v>0.68595057009486848</v>
      </c>
    </row>
    <row r="8" spans="1:18" x14ac:dyDescent="0.25">
      <c r="A8" t="s">
        <v>29</v>
      </c>
      <c r="B8" t="s">
        <v>30</v>
      </c>
      <c r="C8" t="s">
        <v>31</v>
      </c>
      <c r="D8" t="s">
        <v>32</v>
      </c>
      <c r="E8" t="s">
        <v>18</v>
      </c>
      <c r="F8" t="s">
        <v>19</v>
      </c>
      <c r="G8" t="s">
        <v>19</v>
      </c>
      <c r="H8" t="s">
        <v>19</v>
      </c>
      <c r="I8" t="s">
        <v>19</v>
      </c>
      <c r="J8" t="s">
        <v>19</v>
      </c>
      <c r="K8" t="s">
        <v>19</v>
      </c>
      <c r="L8" t="s">
        <v>19</v>
      </c>
      <c r="M8">
        <v>906</v>
      </c>
      <c r="N8">
        <v>1251</v>
      </c>
      <c r="O8">
        <v>2897</v>
      </c>
      <c r="P8">
        <v>4499</v>
      </c>
      <c r="Q8">
        <v>9428</v>
      </c>
      <c r="R8" s="3">
        <f t="shared" si="0"/>
        <v>0.79606828454142997</v>
      </c>
    </row>
    <row r="9" spans="1:18" x14ac:dyDescent="0.25">
      <c r="A9" t="s">
        <v>33</v>
      </c>
      <c r="B9" t="s">
        <v>34</v>
      </c>
      <c r="C9" t="s">
        <v>35</v>
      </c>
      <c r="D9" t="s">
        <v>36</v>
      </c>
      <c r="E9" t="s">
        <v>18</v>
      </c>
      <c r="F9" t="s">
        <v>19</v>
      </c>
      <c r="G9" t="s">
        <v>19</v>
      </c>
      <c r="H9" t="s">
        <v>24</v>
      </c>
      <c r="I9" t="s">
        <v>19</v>
      </c>
      <c r="J9" t="s">
        <v>19</v>
      </c>
      <c r="K9" t="s">
        <v>19</v>
      </c>
      <c r="L9" t="s">
        <v>19</v>
      </c>
      <c r="M9">
        <v>1421</v>
      </c>
      <c r="N9">
        <v>1893</v>
      </c>
      <c r="O9">
        <v>2722</v>
      </c>
      <c r="P9">
        <v>4410</v>
      </c>
      <c r="Q9">
        <v>5873</v>
      </c>
      <c r="R9" s="3">
        <f t="shared" si="0"/>
        <v>0.42582583880267388</v>
      </c>
    </row>
    <row r="10" spans="1:18" x14ac:dyDescent="0.25">
      <c r="A10" t="s">
        <v>37</v>
      </c>
      <c r="B10" t="s">
        <v>38</v>
      </c>
      <c r="C10" t="s">
        <v>39</v>
      </c>
      <c r="D10" t="s">
        <v>40</v>
      </c>
      <c r="E10" t="s">
        <v>18</v>
      </c>
      <c r="F10" t="s">
        <v>19</v>
      </c>
      <c r="G10" t="s">
        <v>19</v>
      </c>
      <c r="H10" t="s">
        <v>19</v>
      </c>
      <c r="I10" t="s">
        <v>24</v>
      </c>
      <c r="J10" t="s">
        <v>19</v>
      </c>
      <c r="K10" t="s">
        <v>19</v>
      </c>
      <c r="L10" t="s">
        <v>24</v>
      </c>
      <c r="M10">
        <v>2341</v>
      </c>
      <c r="N10">
        <v>6105</v>
      </c>
      <c r="O10">
        <v>7777</v>
      </c>
      <c r="P10">
        <v>7891</v>
      </c>
      <c r="Q10">
        <v>8758</v>
      </c>
      <c r="R10" s="3">
        <f t="shared" si="0"/>
        <v>0.390755806385503</v>
      </c>
    </row>
    <row r="11" spans="1:18" x14ac:dyDescent="0.25">
      <c r="A11" t="s">
        <v>41</v>
      </c>
      <c r="B11" t="s">
        <v>42</v>
      </c>
      <c r="C11" t="s">
        <v>43</v>
      </c>
      <c r="D11" t="s">
        <v>44</v>
      </c>
      <c r="E11" t="s">
        <v>18</v>
      </c>
      <c r="F11" t="s">
        <v>19</v>
      </c>
      <c r="G11" t="s">
        <v>24</v>
      </c>
      <c r="H11" t="s">
        <v>24</v>
      </c>
      <c r="I11" t="s">
        <v>24</v>
      </c>
      <c r="J11" t="s">
        <v>24</v>
      </c>
      <c r="K11" t="s">
        <v>19</v>
      </c>
      <c r="L11" t="s">
        <v>24</v>
      </c>
      <c r="M11">
        <v>9252</v>
      </c>
      <c r="N11">
        <v>8499</v>
      </c>
      <c r="O11">
        <v>991</v>
      </c>
      <c r="P11">
        <v>448</v>
      </c>
      <c r="Q11">
        <v>211</v>
      </c>
      <c r="R11" s="3">
        <f t="shared" si="0"/>
        <v>-0.61139202601329412</v>
      </c>
    </row>
    <row r="12" spans="1:18" x14ac:dyDescent="0.25">
      <c r="A12" t="s">
        <v>45</v>
      </c>
      <c r="B12" t="s">
        <v>46</v>
      </c>
      <c r="C12" t="s">
        <v>47</v>
      </c>
      <c r="D12" t="s">
        <v>48</v>
      </c>
      <c r="E12" t="s">
        <v>18</v>
      </c>
      <c r="F12" t="s">
        <v>19</v>
      </c>
      <c r="G12" t="s">
        <v>24</v>
      </c>
      <c r="H12" t="s">
        <v>19</v>
      </c>
      <c r="I12" t="s">
        <v>19</v>
      </c>
      <c r="J12" t="s">
        <v>24</v>
      </c>
      <c r="K12" t="s">
        <v>19</v>
      </c>
      <c r="L12" t="s">
        <v>24</v>
      </c>
      <c r="M12">
        <v>1581</v>
      </c>
      <c r="N12">
        <v>4799</v>
      </c>
      <c r="O12">
        <v>6582</v>
      </c>
      <c r="P12">
        <v>9024</v>
      </c>
      <c r="Q12">
        <v>9759</v>
      </c>
      <c r="R12" s="3">
        <f t="shared" si="0"/>
        <v>0.57622554654037406</v>
      </c>
    </row>
    <row r="13" spans="1:18" x14ac:dyDescent="0.25">
      <c r="A13" t="s">
        <v>49</v>
      </c>
      <c r="B13" t="s">
        <v>50</v>
      </c>
      <c r="C13" t="s">
        <v>51</v>
      </c>
      <c r="D13" t="s">
        <v>52</v>
      </c>
      <c r="E13" t="s">
        <v>18</v>
      </c>
      <c r="F13" t="s">
        <v>19</v>
      </c>
      <c r="G13" t="s">
        <v>24</v>
      </c>
      <c r="H13" t="s">
        <v>24</v>
      </c>
      <c r="I13" t="s">
        <v>24</v>
      </c>
      <c r="J13" t="s">
        <v>24</v>
      </c>
      <c r="K13" t="s">
        <v>19</v>
      </c>
      <c r="L13" t="s">
        <v>24</v>
      </c>
      <c r="M13">
        <v>9766</v>
      </c>
      <c r="N13">
        <v>8049</v>
      </c>
      <c r="O13">
        <v>5556</v>
      </c>
      <c r="P13">
        <v>5202</v>
      </c>
      <c r="Q13">
        <v>2373</v>
      </c>
      <c r="R13" s="3">
        <f t="shared" si="0"/>
        <v>-0.29790601141591733</v>
      </c>
    </row>
    <row r="14" spans="1:18" x14ac:dyDescent="0.25">
      <c r="A14" t="s">
        <v>53</v>
      </c>
      <c r="B14" t="s">
        <v>54</v>
      </c>
      <c r="C14" t="s">
        <v>55</v>
      </c>
      <c r="D14" t="s">
        <v>56</v>
      </c>
      <c r="E14" t="s">
        <v>18</v>
      </c>
      <c r="F14" t="s">
        <v>19</v>
      </c>
      <c r="G14" t="s">
        <v>19</v>
      </c>
      <c r="H14" t="s">
        <v>24</v>
      </c>
      <c r="I14" t="s">
        <v>19</v>
      </c>
      <c r="J14" t="s">
        <v>24</v>
      </c>
      <c r="K14" t="s">
        <v>19</v>
      </c>
      <c r="L14" t="s">
        <v>24</v>
      </c>
      <c r="M14">
        <v>1530</v>
      </c>
      <c r="N14">
        <v>1620</v>
      </c>
      <c r="O14">
        <v>2027</v>
      </c>
      <c r="P14">
        <v>4881</v>
      </c>
      <c r="Q14">
        <v>6002</v>
      </c>
      <c r="R14" s="3">
        <f t="shared" si="0"/>
        <v>0.40734683274409145</v>
      </c>
    </row>
    <row r="15" spans="1:18" x14ac:dyDescent="0.25">
      <c r="A15" t="s">
        <v>57</v>
      </c>
      <c r="B15" t="s">
        <v>58</v>
      </c>
      <c r="C15" t="s">
        <v>59</v>
      </c>
      <c r="D15" t="s">
        <v>60</v>
      </c>
      <c r="E15" t="s">
        <v>18</v>
      </c>
      <c r="F15" t="s">
        <v>19</v>
      </c>
      <c r="G15" t="s">
        <v>24</v>
      </c>
      <c r="H15" t="s">
        <v>24</v>
      </c>
      <c r="I15" t="s">
        <v>24</v>
      </c>
      <c r="J15" t="s">
        <v>24</v>
      </c>
      <c r="K15" t="s">
        <v>24</v>
      </c>
      <c r="L15" t="s">
        <v>24</v>
      </c>
      <c r="M15">
        <v>7555</v>
      </c>
      <c r="N15">
        <v>6551</v>
      </c>
      <c r="O15">
        <v>5188</v>
      </c>
      <c r="P15">
        <v>3436</v>
      </c>
      <c r="Q15">
        <v>2359</v>
      </c>
      <c r="R15" s="3">
        <f t="shared" si="0"/>
        <v>-0.25247905109930902</v>
      </c>
    </row>
    <row r="16" spans="1:18" x14ac:dyDescent="0.25">
      <c r="A16" t="s">
        <v>61</v>
      </c>
      <c r="B16" t="s">
        <v>62</v>
      </c>
      <c r="C16" t="s">
        <v>63</v>
      </c>
      <c r="D16" t="s">
        <v>64</v>
      </c>
      <c r="E16" t="s">
        <v>18</v>
      </c>
      <c r="F16" t="s">
        <v>19</v>
      </c>
      <c r="G16" t="s">
        <v>24</v>
      </c>
      <c r="H16" t="s">
        <v>24</v>
      </c>
      <c r="I16" t="s">
        <v>24</v>
      </c>
      <c r="J16" t="s">
        <v>24</v>
      </c>
      <c r="K16" t="s">
        <v>24</v>
      </c>
      <c r="L16" t="s">
        <v>24</v>
      </c>
      <c r="M16">
        <v>1532</v>
      </c>
      <c r="N16">
        <v>2678</v>
      </c>
      <c r="O16">
        <v>4068</v>
      </c>
      <c r="P16">
        <v>4278</v>
      </c>
      <c r="Q16">
        <v>5382</v>
      </c>
      <c r="R16" s="3">
        <f t="shared" si="0"/>
        <v>0.3690560602470212</v>
      </c>
    </row>
    <row r="17" spans="1:18" x14ac:dyDescent="0.25">
      <c r="A17" t="s">
        <v>65</v>
      </c>
      <c r="B17" t="s">
        <v>66</v>
      </c>
      <c r="C17" t="s">
        <v>67</v>
      </c>
      <c r="D17" t="s">
        <v>68</v>
      </c>
      <c r="E17" t="s">
        <v>18</v>
      </c>
      <c r="F17" t="s">
        <v>19</v>
      </c>
      <c r="G17" t="s">
        <v>24</v>
      </c>
      <c r="H17" t="s">
        <v>19</v>
      </c>
      <c r="I17" t="s">
        <v>19</v>
      </c>
      <c r="J17" t="s">
        <v>19</v>
      </c>
      <c r="K17" t="s">
        <v>19</v>
      </c>
      <c r="L17" t="s">
        <v>19</v>
      </c>
      <c r="M17">
        <v>24</v>
      </c>
      <c r="N17">
        <v>1797</v>
      </c>
      <c r="O17">
        <v>3548</v>
      </c>
      <c r="P17">
        <v>3668</v>
      </c>
      <c r="Q17">
        <v>8592</v>
      </c>
      <c r="R17" s="3">
        <f t="shared" si="0"/>
        <v>3.3498147004699526</v>
      </c>
    </row>
    <row r="18" spans="1:18" x14ac:dyDescent="0.25">
      <c r="A18" t="s">
        <v>69</v>
      </c>
      <c r="B18" t="s">
        <v>70</v>
      </c>
      <c r="C18" t="s">
        <v>71</v>
      </c>
      <c r="D18" t="s">
        <v>72</v>
      </c>
      <c r="E18" t="s">
        <v>18</v>
      </c>
      <c r="F18" t="s">
        <v>19</v>
      </c>
      <c r="G18" t="s">
        <v>19</v>
      </c>
      <c r="H18" t="s">
        <v>19</v>
      </c>
      <c r="I18" t="s">
        <v>19</v>
      </c>
      <c r="J18" t="s">
        <v>19</v>
      </c>
      <c r="K18" t="s">
        <v>19</v>
      </c>
      <c r="L18" t="s">
        <v>19</v>
      </c>
      <c r="M18">
        <v>861</v>
      </c>
      <c r="N18">
        <v>1314</v>
      </c>
      <c r="O18">
        <v>1810</v>
      </c>
      <c r="P18">
        <v>6510</v>
      </c>
      <c r="Q18">
        <v>9271</v>
      </c>
      <c r="R18" s="3">
        <f t="shared" si="0"/>
        <v>0.81146879617010592</v>
      </c>
    </row>
    <row r="19" spans="1:18" x14ac:dyDescent="0.25">
      <c r="A19" t="s">
        <v>73</v>
      </c>
      <c r="B19" t="s">
        <v>74</v>
      </c>
      <c r="C19" t="s">
        <v>75</v>
      </c>
      <c r="D19" t="s">
        <v>76</v>
      </c>
      <c r="E19" t="s">
        <v>18</v>
      </c>
      <c r="F19" t="s">
        <v>19</v>
      </c>
      <c r="G19" t="s">
        <v>19</v>
      </c>
      <c r="H19" t="s">
        <v>24</v>
      </c>
      <c r="I19" t="s">
        <v>24</v>
      </c>
      <c r="J19" t="s">
        <v>24</v>
      </c>
      <c r="K19" t="s">
        <v>24</v>
      </c>
      <c r="L19" t="s">
        <v>24</v>
      </c>
      <c r="M19">
        <v>9058</v>
      </c>
      <c r="N19">
        <v>4839</v>
      </c>
      <c r="O19">
        <v>4776</v>
      </c>
      <c r="P19">
        <v>4024</v>
      </c>
      <c r="Q19">
        <v>369</v>
      </c>
      <c r="R19" s="3">
        <f t="shared" si="0"/>
        <v>-0.55073921414194782</v>
      </c>
    </row>
    <row r="20" spans="1:18" x14ac:dyDescent="0.25">
      <c r="A20" t="s">
        <v>77</v>
      </c>
      <c r="B20" t="s">
        <v>78</v>
      </c>
      <c r="C20" t="s">
        <v>79</v>
      </c>
      <c r="D20" t="s">
        <v>80</v>
      </c>
      <c r="E20" t="s">
        <v>81</v>
      </c>
      <c r="F20" t="s">
        <v>19</v>
      </c>
      <c r="G20" t="s">
        <v>19</v>
      </c>
      <c r="H20" t="s">
        <v>24</v>
      </c>
      <c r="I20" t="s">
        <v>24</v>
      </c>
      <c r="J20" t="s">
        <v>24</v>
      </c>
      <c r="K20" t="s">
        <v>24</v>
      </c>
      <c r="L20" t="s">
        <v>24</v>
      </c>
      <c r="M20">
        <v>3501</v>
      </c>
      <c r="N20">
        <v>7079</v>
      </c>
      <c r="O20">
        <v>7438</v>
      </c>
      <c r="P20">
        <v>7443</v>
      </c>
      <c r="Q20">
        <v>9225</v>
      </c>
      <c r="R20" s="3">
        <f t="shared" si="0"/>
        <v>0.27407081068210992</v>
      </c>
    </row>
    <row r="21" spans="1:18" x14ac:dyDescent="0.25">
      <c r="A21" t="s">
        <v>82</v>
      </c>
      <c r="B21" t="s">
        <v>83</v>
      </c>
      <c r="C21" t="s">
        <v>84</v>
      </c>
      <c r="D21" t="s">
        <v>85</v>
      </c>
      <c r="E21" t="s">
        <v>81</v>
      </c>
      <c r="F21" t="s">
        <v>19</v>
      </c>
      <c r="G21" t="s">
        <v>19</v>
      </c>
      <c r="H21" t="s">
        <v>24</v>
      </c>
      <c r="I21" t="s">
        <v>24</v>
      </c>
      <c r="J21" t="s">
        <v>24</v>
      </c>
      <c r="K21" t="s">
        <v>24</v>
      </c>
      <c r="L21" t="s">
        <v>24</v>
      </c>
      <c r="M21">
        <v>3916</v>
      </c>
      <c r="N21">
        <v>4218</v>
      </c>
      <c r="O21">
        <v>5072</v>
      </c>
      <c r="P21">
        <v>5201</v>
      </c>
      <c r="Q21">
        <v>7588</v>
      </c>
      <c r="R21" s="3">
        <f t="shared" si="0"/>
        <v>0.17983468576187267</v>
      </c>
    </row>
    <row r="22" spans="1:18" x14ac:dyDescent="0.25">
      <c r="A22" t="s">
        <v>86</v>
      </c>
      <c r="B22" t="s">
        <v>87</v>
      </c>
      <c r="C22" t="s">
        <v>88</v>
      </c>
      <c r="D22" t="s">
        <v>89</v>
      </c>
      <c r="E22" t="s">
        <v>81</v>
      </c>
      <c r="F22" t="s">
        <v>19</v>
      </c>
      <c r="G22" t="s">
        <v>19</v>
      </c>
      <c r="H22" t="s">
        <v>24</v>
      </c>
      <c r="I22" t="s">
        <v>19</v>
      </c>
      <c r="J22" t="s">
        <v>24</v>
      </c>
      <c r="K22" t="s">
        <v>19</v>
      </c>
      <c r="L22" t="s">
        <v>24</v>
      </c>
      <c r="M22">
        <v>700</v>
      </c>
      <c r="N22">
        <v>5721</v>
      </c>
      <c r="O22">
        <v>6247</v>
      </c>
      <c r="P22">
        <v>8495</v>
      </c>
      <c r="Q22">
        <v>9236</v>
      </c>
      <c r="R22" s="3">
        <f t="shared" si="0"/>
        <v>0.90588403033885334</v>
      </c>
    </row>
    <row r="23" spans="1:18" x14ac:dyDescent="0.25">
      <c r="A23" t="s">
        <v>90</v>
      </c>
      <c r="B23" t="s">
        <v>91</v>
      </c>
      <c r="C23" t="s">
        <v>92</v>
      </c>
      <c r="D23" t="s">
        <v>93</v>
      </c>
      <c r="E23" t="s">
        <v>81</v>
      </c>
      <c r="F23" t="s">
        <v>19</v>
      </c>
      <c r="G23" t="s">
        <v>19</v>
      </c>
      <c r="H23" t="s">
        <v>24</v>
      </c>
      <c r="I23" t="s">
        <v>24</v>
      </c>
      <c r="J23" t="s">
        <v>24</v>
      </c>
      <c r="K23" t="s">
        <v>24</v>
      </c>
      <c r="L23" t="s">
        <v>24</v>
      </c>
      <c r="M23">
        <v>9773</v>
      </c>
      <c r="N23">
        <v>9179</v>
      </c>
      <c r="O23">
        <v>8390</v>
      </c>
      <c r="P23">
        <v>8256</v>
      </c>
      <c r="Q23">
        <v>3815</v>
      </c>
      <c r="R23" s="3">
        <f t="shared" si="0"/>
        <v>-0.20956409258224717</v>
      </c>
    </row>
    <row r="24" spans="1:18" x14ac:dyDescent="0.25">
      <c r="A24" t="s">
        <v>94</v>
      </c>
      <c r="B24" t="s">
        <v>95</v>
      </c>
      <c r="C24" t="s">
        <v>96</v>
      </c>
      <c r="D24" t="s">
        <v>97</v>
      </c>
      <c r="E24" t="s">
        <v>81</v>
      </c>
      <c r="F24" t="s">
        <v>19</v>
      </c>
      <c r="G24" t="s">
        <v>19</v>
      </c>
      <c r="H24" t="s">
        <v>24</v>
      </c>
      <c r="I24" t="s">
        <v>19</v>
      </c>
      <c r="J24" t="s">
        <v>24</v>
      </c>
      <c r="K24" t="s">
        <v>19</v>
      </c>
      <c r="L24" t="s">
        <v>24</v>
      </c>
      <c r="M24">
        <v>73</v>
      </c>
      <c r="N24">
        <v>3485</v>
      </c>
      <c r="O24">
        <v>4592</v>
      </c>
      <c r="P24">
        <v>5143</v>
      </c>
      <c r="Q24">
        <v>8100</v>
      </c>
      <c r="R24" s="3">
        <f t="shared" si="0"/>
        <v>2.2455667067018901</v>
      </c>
    </row>
    <row r="25" spans="1:18" x14ac:dyDescent="0.25">
      <c r="A25" t="s">
        <v>98</v>
      </c>
      <c r="B25" t="s">
        <v>99</v>
      </c>
      <c r="C25" t="s">
        <v>100</v>
      </c>
      <c r="D25" t="s">
        <v>101</v>
      </c>
      <c r="E25" t="s">
        <v>81</v>
      </c>
      <c r="F25" t="s">
        <v>19</v>
      </c>
      <c r="G25" t="s">
        <v>19</v>
      </c>
      <c r="H25" t="s">
        <v>24</v>
      </c>
      <c r="I25" t="s">
        <v>19</v>
      </c>
      <c r="J25" t="s">
        <v>24</v>
      </c>
      <c r="K25" t="s">
        <v>19</v>
      </c>
      <c r="L25" t="s">
        <v>24</v>
      </c>
      <c r="M25">
        <v>238</v>
      </c>
      <c r="N25">
        <v>1235</v>
      </c>
      <c r="O25">
        <v>1822</v>
      </c>
      <c r="P25">
        <v>7074</v>
      </c>
      <c r="Q25">
        <v>8207</v>
      </c>
      <c r="R25" s="3">
        <f t="shared" si="0"/>
        <v>1.4232703532020747</v>
      </c>
    </row>
    <row r="26" spans="1:18" x14ac:dyDescent="0.25">
      <c r="A26" t="s">
        <v>102</v>
      </c>
      <c r="B26" t="s">
        <v>103</v>
      </c>
      <c r="C26" t="s">
        <v>104</v>
      </c>
      <c r="D26" t="s">
        <v>105</v>
      </c>
      <c r="E26" t="s">
        <v>81</v>
      </c>
      <c r="F26" t="s">
        <v>19</v>
      </c>
      <c r="G26" t="s">
        <v>19</v>
      </c>
      <c r="H26" t="s">
        <v>24</v>
      </c>
      <c r="I26" t="s">
        <v>19</v>
      </c>
      <c r="J26" t="s">
        <v>24</v>
      </c>
      <c r="K26" t="s">
        <v>19</v>
      </c>
      <c r="L26" t="s">
        <v>24</v>
      </c>
      <c r="M26">
        <v>1368</v>
      </c>
      <c r="N26">
        <v>3447</v>
      </c>
      <c r="O26">
        <v>4535</v>
      </c>
      <c r="P26">
        <v>5476</v>
      </c>
      <c r="Q26">
        <v>9983</v>
      </c>
      <c r="R26" s="3">
        <f t="shared" si="0"/>
        <v>0.64359095818904954</v>
      </c>
    </row>
    <row r="27" spans="1:18" x14ac:dyDescent="0.25">
      <c r="A27" t="s">
        <v>106</v>
      </c>
      <c r="B27" t="s">
        <v>107</v>
      </c>
      <c r="C27" t="s">
        <v>108</v>
      </c>
      <c r="D27" t="s">
        <v>109</v>
      </c>
      <c r="E27" t="s">
        <v>81</v>
      </c>
      <c r="F27" t="s">
        <v>19</v>
      </c>
      <c r="G27" t="s">
        <v>24</v>
      </c>
      <c r="H27" t="s">
        <v>24</v>
      </c>
      <c r="I27" t="s">
        <v>24</v>
      </c>
      <c r="J27" t="s">
        <v>19</v>
      </c>
      <c r="K27" t="s">
        <v>24</v>
      </c>
      <c r="L27" t="s">
        <v>24</v>
      </c>
      <c r="M27">
        <v>8331</v>
      </c>
      <c r="N27">
        <v>7667</v>
      </c>
      <c r="O27">
        <v>5952</v>
      </c>
      <c r="P27">
        <v>1998</v>
      </c>
      <c r="Q27">
        <v>375</v>
      </c>
      <c r="R27" s="3">
        <f t="shared" si="0"/>
        <v>-0.53938981874158332</v>
      </c>
    </row>
    <row r="28" spans="1:18" x14ac:dyDescent="0.25">
      <c r="A28" t="s">
        <v>110</v>
      </c>
      <c r="B28" t="s">
        <v>111</v>
      </c>
      <c r="C28" t="s">
        <v>112</v>
      </c>
      <c r="D28" t="s">
        <v>113</v>
      </c>
      <c r="E28" t="s">
        <v>81</v>
      </c>
      <c r="F28" t="s">
        <v>19</v>
      </c>
      <c r="G28" t="s">
        <v>19</v>
      </c>
      <c r="H28" t="s">
        <v>24</v>
      </c>
      <c r="I28" t="s">
        <v>19</v>
      </c>
      <c r="J28" t="s">
        <v>19</v>
      </c>
      <c r="K28" t="s">
        <v>19</v>
      </c>
      <c r="L28" t="s">
        <v>24</v>
      </c>
      <c r="M28">
        <v>1779</v>
      </c>
      <c r="N28">
        <v>2124</v>
      </c>
      <c r="O28">
        <v>2844</v>
      </c>
      <c r="P28">
        <v>6877</v>
      </c>
      <c r="Q28">
        <v>9570</v>
      </c>
      <c r="R28" s="3">
        <f t="shared" si="0"/>
        <v>0.52294422157633269</v>
      </c>
    </row>
    <row r="29" spans="1:18" x14ac:dyDescent="0.25">
      <c r="A29" t="s">
        <v>114</v>
      </c>
      <c r="B29" t="s">
        <v>115</v>
      </c>
      <c r="C29" t="s">
        <v>116</v>
      </c>
      <c r="D29" t="s">
        <v>117</v>
      </c>
      <c r="E29" t="s">
        <v>81</v>
      </c>
      <c r="F29" t="s">
        <v>19</v>
      </c>
      <c r="G29" t="s">
        <v>19</v>
      </c>
      <c r="H29" t="s">
        <v>24</v>
      </c>
      <c r="I29" t="s">
        <v>19</v>
      </c>
      <c r="J29" t="s">
        <v>19</v>
      </c>
      <c r="K29" t="s">
        <v>19</v>
      </c>
      <c r="L29" t="s">
        <v>24</v>
      </c>
      <c r="M29">
        <v>570</v>
      </c>
      <c r="N29">
        <v>1322</v>
      </c>
      <c r="O29">
        <v>7279</v>
      </c>
      <c r="P29">
        <v>8443</v>
      </c>
      <c r="Q29">
        <v>9571</v>
      </c>
      <c r="R29" s="3">
        <f t="shared" si="0"/>
        <v>1.0242801438529217</v>
      </c>
    </row>
    <row r="30" spans="1:18" x14ac:dyDescent="0.25">
      <c r="A30" t="s">
        <v>118</v>
      </c>
      <c r="B30" t="s">
        <v>119</v>
      </c>
      <c r="C30" t="s">
        <v>120</v>
      </c>
      <c r="D30" t="s">
        <v>121</v>
      </c>
      <c r="E30" t="s">
        <v>81</v>
      </c>
      <c r="F30" t="s">
        <v>19</v>
      </c>
      <c r="G30" t="s">
        <v>24</v>
      </c>
      <c r="H30" t="s">
        <v>24</v>
      </c>
      <c r="I30" t="s">
        <v>24</v>
      </c>
      <c r="J30" t="s">
        <v>19</v>
      </c>
      <c r="K30" t="s">
        <v>24</v>
      </c>
      <c r="L30" t="s">
        <v>24</v>
      </c>
      <c r="M30">
        <v>6156</v>
      </c>
      <c r="N30">
        <v>6110</v>
      </c>
      <c r="O30">
        <v>5791</v>
      </c>
      <c r="P30">
        <v>1759</v>
      </c>
      <c r="Q30">
        <v>969</v>
      </c>
      <c r="R30" s="3">
        <f t="shared" si="0"/>
        <v>-0.37012221518144006</v>
      </c>
    </row>
    <row r="31" spans="1:18" x14ac:dyDescent="0.25">
      <c r="A31" t="s">
        <v>122</v>
      </c>
      <c r="B31" t="s">
        <v>123</v>
      </c>
      <c r="C31" t="s">
        <v>124</v>
      </c>
      <c r="D31" t="s">
        <v>125</v>
      </c>
      <c r="E31" t="s">
        <v>81</v>
      </c>
      <c r="F31" t="s">
        <v>19</v>
      </c>
      <c r="G31" t="s">
        <v>19</v>
      </c>
      <c r="H31" t="s">
        <v>24</v>
      </c>
      <c r="I31" t="s">
        <v>19</v>
      </c>
      <c r="J31" t="s">
        <v>19</v>
      </c>
      <c r="K31" t="s">
        <v>19</v>
      </c>
      <c r="L31" t="s">
        <v>24</v>
      </c>
      <c r="M31">
        <v>209</v>
      </c>
      <c r="N31">
        <v>621</v>
      </c>
      <c r="O31">
        <v>3098</v>
      </c>
      <c r="P31">
        <v>7118</v>
      </c>
      <c r="Q31">
        <v>8433</v>
      </c>
      <c r="R31" s="3">
        <f t="shared" si="0"/>
        <v>1.5203389637502625</v>
      </c>
    </row>
    <row r="32" spans="1:18" x14ac:dyDescent="0.25">
      <c r="A32" t="s">
        <v>126</v>
      </c>
      <c r="B32" t="s">
        <v>127</v>
      </c>
      <c r="C32" t="s">
        <v>128</v>
      </c>
      <c r="D32" t="s">
        <v>129</v>
      </c>
      <c r="E32" t="s">
        <v>81</v>
      </c>
      <c r="F32" t="s">
        <v>19</v>
      </c>
      <c r="G32" t="s">
        <v>19</v>
      </c>
      <c r="H32" t="s">
        <v>24</v>
      </c>
      <c r="I32" t="s">
        <v>24</v>
      </c>
      <c r="J32" t="s">
        <v>24</v>
      </c>
      <c r="K32" t="s">
        <v>24</v>
      </c>
      <c r="L32" t="s">
        <v>24</v>
      </c>
      <c r="M32">
        <v>6309</v>
      </c>
      <c r="N32">
        <v>6227</v>
      </c>
      <c r="O32">
        <v>5123</v>
      </c>
      <c r="P32">
        <v>4968</v>
      </c>
      <c r="Q32">
        <v>3857</v>
      </c>
      <c r="R32" s="3">
        <f t="shared" si="0"/>
        <v>-0.11575568185753915</v>
      </c>
    </row>
    <row r="33" spans="1:18" x14ac:dyDescent="0.25">
      <c r="A33" t="s">
        <v>130</v>
      </c>
      <c r="B33" t="s">
        <v>131</v>
      </c>
      <c r="C33" t="s">
        <v>132</v>
      </c>
      <c r="D33" t="s">
        <v>133</v>
      </c>
      <c r="E33" t="s">
        <v>81</v>
      </c>
      <c r="F33" t="s">
        <v>19</v>
      </c>
      <c r="G33" t="s">
        <v>19</v>
      </c>
      <c r="H33" t="s">
        <v>24</v>
      </c>
      <c r="I33" t="s">
        <v>19</v>
      </c>
      <c r="J33" t="s">
        <v>24</v>
      </c>
      <c r="K33" t="s">
        <v>19</v>
      </c>
      <c r="L33" t="s">
        <v>24</v>
      </c>
      <c r="M33">
        <v>712</v>
      </c>
      <c r="N33">
        <v>4182</v>
      </c>
      <c r="O33">
        <v>6087</v>
      </c>
      <c r="P33">
        <v>7494</v>
      </c>
      <c r="Q33">
        <v>8599</v>
      </c>
      <c r="R33" s="3">
        <f t="shared" si="0"/>
        <v>0.86419779018759768</v>
      </c>
    </row>
    <row r="34" spans="1:18" x14ac:dyDescent="0.25">
      <c r="A34" t="s">
        <v>134</v>
      </c>
      <c r="B34" t="s">
        <v>135</v>
      </c>
      <c r="C34" t="s">
        <v>136</v>
      </c>
      <c r="D34" t="s">
        <v>137</v>
      </c>
      <c r="E34" t="s">
        <v>81</v>
      </c>
      <c r="F34" t="s">
        <v>19</v>
      </c>
      <c r="G34" t="s">
        <v>19</v>
      </c>
      <c r="H34" t="s">
        <v>24</v>
      </c>
      <c r="I34" t="s">
        <v>24</v>
      </c>
      <c r="J34" t="s">
        <v>24</v>
      </c>
      <c r="K34" t="s">
        <v>24</v>
      </c>
      <c r="L34" t="s">
        <v>24</v>
      </c>
      <c r="M34">
        <v>2390</v>
      </c>
      <c r="N34">
        <v>2415</v>
      </c>
      <c r="O34">
        <v>3461</v>
      </c>
      <c r="P34">
        <v>3850</v>
      </c>
      <c r="Q34">
        <v>4657</v>
      </c>
      <c r="R34" s="3">
        <f t="shared" si="0"/>
        <v>0.18148193130433588</v>
      </c>
    </row>
    <row r="35" spans="1:18" x14ac:dyDescent="0.25">
      <c r="A35" t="s">
        <v>138</v>
      </c>
      <c r="B35" t="s">
        <v>139</v>
      </c>
      <c r="C35" t="s">
        <v>140</v>
      </c>
      <c r="D35" t="s">
        <v>141</v>
      </c>
      <c r="E35" t="s">
        <v>142</v>
      </c>
      <c r="F35" t="s">
        <v>19</v>
      </c>
      <c r="G35" t="s">
        <v>19</v>
      </c>
      <c r="H35" t="s">
        <v>19</v>
      </c>
      <c r="I35" t="s">
        <v>24</v>
      </c>
      <c r="J35" t="s">
        <v>24</v>
      </c>
      <c r="K35" t="s">
        <v>19</v>
      </c>
      <c r="L35" t="s">
        <v>24</v>
      </c>
      <c r="M35">
        <v>2519</v>
      </c>
      <c r="N35">
        <v>3938</v>
      </c>
      <c r="O35">
        <v>5190</v>
      </c>
      <c r="P35">
        <v>8203</v>
      </c>
      <c r="Q35">
        <v>8780</v>
      </c>
      <c r="R35" s="3">
        <f t="shared" si="0"/>
        <v>0.36636455401735013</v>
      </c>
    </row>
    <row r="36" spans="1:18" x14ac:dyDescent="0.25">
      <c r="A36" t="s">
        <v>143</v>
      </c>
      <c r="B36" t="s">
        <v>144</v>
      </c>
      <c r="C36" t="s">
        <v>145</v>
      </c>
      <c r="D36" t="s">
        <v>146</v>
      </c>
      <c r="E36" t="s">
        <v>142</v>
      </c>
      <c r="F36" t="s">
        <v>19</v>
      </c>
      <c r="G36" t="s">
        <v>19</v>
      </c>
      <c r="H36" t="s">
        <v>19</v>
      </c>
      <c r="I36" t="s">
        <v>19</v>
      </c>
      <c r="J36" t="s">
        <v>19</v>
      </c>
      <c r="K36" t="s">
        <v>19</v>
      </c>
      <c r="L36" t="s">
        <v>24</v>
      </c>
      <c r="M36">
        <v>138</v>
      </c>
      <c r="N36">
        <v>286</v>
      </c>
      <c r="O36">
        <v>6750</v>
      </c>
      <c r="P36">
        <v>8254</v>
      </c>
      <c r="Q36">
        <v>8656</v>
      </c>
      <c r="R36" s="3">
        <f t="shared" si="0"/>
        <v>1.8142296888697582</v>
      </c>
    </row>
    <row r="37" spans="1:18" x14ac:dyDescent="0.25">
      <c r="A37" t="s">
        <v>147</v>
      </c>
      <c r="B37" t="s">
        <v>148</v>
      </c>
      <c r="C37" t="s">
        <v>149</v>
      </c>
      <c r="D37" t="s">
        <v>150</v>
      </c>
      <c r="E37" t="s">
        <v>142</v>
      </c>
      <c r="F37" t="s">
        <v>19</v>
      </c>
      <c r="G37" t="s">
        <v>19</v>
      </c>
      <c r="H37" t="s">
        <v>19</v>
      </c>
      <c r="I37" t="s">
        <v>24</v>
      </c>
      <c r="J37" t="s">
        <v>24</v>
      </c>
      <c r="K37" t="s">
        <v>19</v>
      </c>
      <c r="L37" t="s">
        <v>19</v>
      </c>
      <c r="M37">
        <v>8873</v>
      </c>
      <c r="N37">
        <v>8484</v>
      </c>
      <c r="O37">
        <v>7883</v>
      </c>
      <c r="P37">
        <v>7499</v>
      </c>
      <c r="Q37">
        <v>6592</v>
      </c>
      <c r="R37" s="3">
        <f t="shared" ref="R37:R68" si="1">_xlfn.RRI($Q$3-$M$3,M37,Q37)</f>
        <v>-7.1596691853915484E-2</v>
      </c>
    </row>
    <row r="38" spans="1:18" x14ac:dyDescent="0.25">
      <c r="A38" t="s">
        <v>151</v>
      </c>
      <c r="B38" t="s">
        <v>152</v>
      </c>
      <c r="C38" t="s">
        <v>153</v>
      </c>
      <c r="D38" t="s">
        <v>154</v>
      </c>
      <c r="E38" t="s">
        <v>142</v>
      </c>
      <c r="F38" t="s">
        <v>19</v>
      </c>
      <c r="G38" t="s">
        <v>19</v>
      </c>
      <c r="H38" t="s">
        <v>19</v>
      </c>
      <c r="I38" t="s">
        <v>24</v>
      </c>
      <c r="J38" t="s">
        <v>24</v>
      </c>
      <c r="K38" t="s">
        <v>19</v>
      </c>
      <c r="L38" t="s">
        <v>19</v>
      </c>
      <c r="M38">
        <v>3297</v>
      </c>
      <c r="N38">
        <v>4866</v>
      </c>
      <c r="O38">
        <v>4928</v>
      </c>
      <c r="P38">
        <v>8451</v>
      </c>
      <c r="Q38">
        <v>9585</v>
      </c>
      <c r="R38" s="3">
        <f t="shared" si="1"/>
        <v>0.30577482876902251</v>
      </c>
    </row>
    <row r="39" spans="1:18" x14ac:dyDescent="0.25">
      <c r="A39" t="s">
        <v>155</v>
      </c>
      <c r="B39" t="s">
        <v>156</v>
      </c>
      <c r="C39" t="s">
        <v>157</v>
      </c>
      <c r="D39" t="s">
        <v>158</v>
      </c>
      <c r="E39" t="s">
        <v>142</v>
      </c>
      <c r="F39" t="s">
        <v>19</v>
      </c>
      <c r="G39" t="s">
        <v>19</v>
      </c>
      <c r="H39" t="s">
        <v>19</v>
      </c>
      <c r="I39" t="s">
        <v>19</v>
      </c>
      <c r="J39" t="s">
        <v>19</v>
      </c>
      <c r="K39" t="s">
        <v>19</v>
      </c>
      <c r="L39" t="s">
        <v>19</v>
      </c>
      <c r="M39">
        <v>1092</v>
      </c>
      <c r="N39">
        <v>3140</v>
      </c>
      <c r="O39">
        <v>4123</v>
      </c>
      <c r="P39">
        <v>4366</v>
      </c>
      <c r="Q39">
        <v>9482</v>
      </c>
      <c r="R39" s="3">
        <f t="shared" si="1"/>
        <v>0.71660086943635504</v>
      </c>
    </row>
    <row r="40" spans="1:18" x14ac:dyDescent="0.25">
      <c r="A40" t="s">
        <v>159</v>
      </c>
      <c r="B40" t="s">
        <v>160</v>
      </c>
      <c r="C40" t="s">
        <v>161</v>
      </c>
      <c r="D40" t="s">
        <v>162</v>
      </c>
      <c r="E40" t="s">
        <v>142</v>
      </c>
      <c r="F40" t="s">
        <v>19</v>
      </c>
      <c r="G40" t="s">
        <v>19</v>
      </c>
      <c r="H40" t="s">
        <v>19</v>
      </c>
      <c r="I40" t="s">
        <v>24</v>
      </c>
      <c r="J40" t="s">
        <v>24</v>
      </c>
      <c r="K40" t="s">
        <v>19</v>
      </c>
      <c r="L40" t="s">
        <v>19</v>
      </c>
      <c r="M40">
        <v>2541</v>
      </c>
      <c r="N40">
        <v>3794</v>
      </c>
      <c r="O40">
        <v>3984</v>
      </c>
      <c r="P40">
        <v>8803</v>
      </c>
      <c r="Q40">
        <v>9338</v>
      </c>
      <c r="R40" s="3">
        <f t="shared" si="1"/>
        <v>0.38456165928272146</v>
      </c>
    </row>
    <row r="41" spans="1:18" x14ac:dyDescent="0.25">
      <c r="A41" t="s">
        <v>163</v>
      </c>
      <c r="B41" t="s">
        <v>164</v>
      </c>
      <c r="C41" t="s">
        <v>165</v>
      </c>
      <c r="D41" t="s">
        <v>166</v>
      </c>
      <c r="E41" t="s">
        <v>142</v>
      </c>
      <c r="F41" t="s">
        <v>19</v>
      </c>
      <c r="G41" t="s">
        <v>19</v>
      </c>
      <c r="H41" t="s">
        <v>19</v>
      </c>
      <c r="I41" t="s">
        <v>19</v>
      </c>
      <c r="J41" t="s">
        <v>19</v>
      </c>
      <c r="K41" t="s">
        <v>19</v>
      </c>
      <c r="L41" t="s">
        <v>19</v>
      </c>
      <c r="M41">
        <v>742</v>
      </c>
      <c r="N41">
        <v>3751</v>
      </c>
      <c r="O41">
        <v>4423</v>
      </c>
      <c r="P41">
        <v>8733</v>
      </c>
      <c r="Q41">
        <v>9909</v>
      </c>
      <c r="R41" s="3">
        <f t="shared" si="1"/>
        <v>0.91164163510334228</v>
      </c>
    </row>
    <row r="42" spans="1:18" x14ac:dyDescent="0.25">
      <c r="A42" t="s">
        <v>167</v>
      </c>
      <c r="B42" t="s">
        <v>168</v>
      </c>
      <c r="C42" t="s">
        <v>169</v>
      </c>
      <c r="D42" t="s">
        <v>170</v>
      </c>
      <c r="E42" t="s">
        <v>142</v>
      </c>
      <c r="F42" t="s">
        <v>19</v>
      </c>
      <c r="G42" t="s">
        <v>24</v>
      </c>
      <c r="H42" t="s">
        <v>24</v>
      </c>
      <c r="I42" t="s">
        <v>24</v>
      </c>
      <c r="J42" t="s">
        <v>24</v>
      </c>
      <c r="K42" t="s">
        <v>19</v>
      </c>
      <c r="L42" t="s">
        <v>19</v>
      </c>
      <c r="M42">
        <v>7703</v>
      </c>
      <c r="N42">
        <v>6957</v>
      </c>
      <c r="O42">
        <v>3898</v>
      </c>
      <c r="P42">
        <v>1857</v>
      </c>
      <c r="Q42">
        <v>1512</v>
      </c>
      <c r="R42" s="3">
        <f t="shared" si="1"/>
        <v>-0.33438519484677687</v>
      </c>
    </row>
    <row r="43" spans="1:18" x14ac:dyDescent="0.25">
      <c r="A43" t="s">
        <v>171</v>
      </c>
      <c r="B43" t="s">
        <v>172</v>
      </c>
      <c r="C43" t="s">
        <v>173</v>
      </c>
      <c r="D43" t="s">
        <v>174</v>
      </c>
      <c r="E43" t="s">
        <v>142</v>
      </c>
      <c r="F43" t="s">
        <v>19</v>
      </c>
      <c r="G43" t="s">
        <v>19</v>
      </c>
      <c r="H43" t="s">
        <v>19</v>
      </c>
      <c r="I43" t="s">
        <v>19</v>
      </c>
      <c r="J43" t="s">
        <v>19</v>
      </c>
      <c r="K43" t="s">
        <v>19</v>
      </c>
      <c r="L43" t="s">
        <v>19</v>
      </c>
      <c r="M43">
        <v>488</v>
      </c>
      <c r="N43">
        <v>5535</v>
      </c>
      <c r="O43">
        <v>5775</v>
      </c>
      <c r="P43">
        <v>7661</v>
      </c>
      <c r="Q43">
        <v>9206</v>
      </c>
      <c r="R43" s="3">
        <f t="shared" si="1"/>
        <v>1.084072328017021</v>
      </c>
    </row>
    <row r="44" spans="1:18" x14ac:dyDescent="0.25">
      <c r="A44" t="s">
        <v>175</v>
      </c>
      <c r="B44" t="s">
        <v>176</v>
      </c>
      <c r="C44" t="s">
        <v>177</v>
      </c>
      <c r="D44" t="s">
        <v>178</v>
      </c>
      <c r="E44" t="s">
        <v>142</v>
      </c>
      <c r="F44" t="s">
        <v>19</v>
      </c>
      <c r="G44" t="s">
        <v>19</v>
      </c>
      <c r="H44" t="s">
        <v>19</v>
      </c>
      <c r="I44" t="s">
        <v>19</v>
      </c>
      <c r="J44" t="s">
        <v>19</v>
      </c>
      <c r="K44" t="s">
        <v>19</v>
      </c>
      <c r="L44" t="s">
        <v>19</v>
      </c>
      <c r="M44">
        <v>376</v>
      </c>
      <c r="N44">
        <v>889</v>
      </c>
      <c r="O44">
        <v>4373</v>
      </c>
      <c r="P44">
        <v>6803</v>
      </c>
      <c r="Q44">
        <v>7578</v>
      </c>
      <c r="R44" s="3">
        <f t="shared" si="1"/>
        <v>1.1188084145320056</v>
      </c>
    </row>
    <row r="45" spans="1:18" x14ac:dyDescent="0.25">
      <c r="A45" t="s">
        <v>179</v>
      </c>
      <c r="B45" t="s">
        <v>180</v>
      </c>
      <c r="C45" t="s">
        <v>181</v>
      </c>
      <c r="D45" t="s">
        <v>182</v>
      </c>
      <c r="E45" t="s">
        <v>142</v>
      </c>
      <c r="F45" t="s">
        <v>19</v>
      </c>
      <c r="G45" t="s">
        <v>24</v>
      </c>
      <c r="H45" t="s">
        <v>24</v>
      </c>
      <c r="I45" t="s">
        <v>24</v>
      </c>
      <c r="J45" t="s">
        <v>24</v>
      </c>
      <c r="K45" t="s">
        <v>19</v>
      </c>
      <c r="L45" t="s">
        <v>19</v>
      </c>
      <c r="M45">
        <v>7840</v>
      </c>
      <c r="N45">
        <v>5804</v>
      </c>
      <c r="O45">
        <v>4259</v>
      </c>
      <c r="P45">
        <v>4243</v>
      </c>
      <c r="Q45">
        <v>907</v>
      </c>
      <c r="R45" s="3">
        <f t="shared" si="1"/>
        <v>-0.41679289513417705</v>
      </c>
    </row>
    <row r="46" spans="1:18" x14ac:dyDescent="0.25">
      <c r="A46" t="s">
        <v>183</v>
      </c>
      <c r="B46" t="s">
        <v>184</v>
      </c>
      <c r="C46" t="s">
        <v>185</v>
      </c>
      <c r="D46" t="s">
        <v>186</v>
      </c>
      <c r="E46" t="s">
        <v>142</v>
      </c>
      <c r="F46" t="s">
        <v>19</v>
      </c>
      <c r="G46" t="s">
        <v>19</v>
      </c>
      <c r="H46" t="s">
        <v>19</v>
      </c>
      <c r="I46" t="s">
        <v>19</v>
      </c>
      <c r="J46" t="s">
        <v>19</v>
      </c>
      <c r="K46" t="s">
        <v>19</v>
      </c>
      <c r="L46" t="s">
        <v>19</v>
      </c>
      <c r="M46">
        <v>1038</v>
      </c>
      <c r="N46">
        <v>3615</v>
      </c>
      <c r="O46">
        <v>3712</v>
      </c>
      <c r="P46">
        <v>5819</v>
      </c>
      <c r="Q46">
        <v>9589</v>
      </c>
      <c r="R46" s="3">
        <f t="shared" si="1"/>
        <v>0.74338775485751718</v>
      </c>
    </row>
    <row r="47" spans="1:18" x14ac:dyDescent="0.25">
      <c r="A47" t="s">
        <v>187</v>
      </c>
      <c r="B47" t="s">
        <v>188</v>
      </c>
      <c r="C47" t="s">
        <v>189</v>
      </c>
      <c r="D47" t="s">
        <v>190</v>
      </c>
      <c r="E47" t="s">
        <v>142</v>
      </c>
      <c r="F47" t="s">
        <v>19</v>
      </c>
      <c r="G47" t="s">
        <v>19</v>
      </c>
      <c r="H47" t="s">
        <v>24</v>
      </c>
      <c r="I47" t="s">
        <v>24</v>
      </c>
      <c r="J47" t="s">
        <v>24</v>
      </c>
      <c r="K47" t="s">
        <v>24</v>
      </c>
      <c r="L47" t="s">
        <v>24</v>
      </c>
      <c r="M47">
        <v>8891</v>
      </c>
      <c r="N47">
        <v>5952</v>
      </c>
      <c r="O47">
        <v>5914</v>
      </c>
      <c r="P47">
        <v>5405</v>
      </c>
      <c r="Q47">
        <v>4031</v>
      </c>
      <c r="R47" s="3">
        <f t="shared" si="1"/>
        <v>-0.17943016656995925</v>
      </c>
    </row>
    <row r="48" spans="1:18" x14ac:dyDescent="0.25">
      <c r="A48" t="s">
        <v>191</v>
      </c>
      <c r="B48" t="s">
        <v>192</v>
      </c>
      <c r="C48" t="s">
        <v>193</v>
      </c>
      <c r="D48" t="s">
        <v>194</v>
      </c>
      <c r="E48" t="s">
        <v>142</v>
      </c>
      <c r="F48" t="s">
        <v>19</v>
      </c>
      <c r="G48" t="s">
        <v>19</v>
      </c>
      <c r="H48" t="s">
        <v>19</v>
      </c>
      <c r="I48" t="s">
        <v>19</v>
      </c>
      <c r="J48" t="s">
        <v>24</v>
      </c>
      <c r="K48" t="s">
        <v>24</v>
      </c>
      <c r="L48" t="s">
        <v>24</v>
      </c>
      <c r="M48">
        <v>1290</v>
      </c>
      <c r="N48">
        <v>4033</v>
      </c>
      <c r="O48">
        <v>6956</v>
      </c>
      <c r="P48">
        <v>7929</v>
      </c>
      <c r="Q48">
        <v>8834</v>
      </c>
      <c r="R48" s="3">
        <f t="shared" si="1"/>
        <v>0.61767741115573149</v>
      </c>
    </row>
    <row r="49" spans="1:18" x14ac:dyDescent="0.25">
      <c r="A49" t="s">
        <v>195</v>
      </c>
      <c r="B49" t="s">
        <v>196</v>
      </c>
      <c r="C49" t="s">
        <v>197</v>
      </c>
      <c r="D49" t="s">
        <v>198</v>
      </c>
      <c r="E49" t="s">
        <v>142</v>
      </c>
      <c r="F49" t="s">
        <v>19</v>
      </c>
      <c r="G49" t="s">
        <v>19</v>
      </c>
      <c r="H49" t="s">
        <v>19</v>
      </c>
      <c r="I49" t="s">
        <v>19</v>
      </c>
      <c r="J49" t="s">
        <v>19</v>
      </c>
      <c r="K49" t="s">
        <v>24</v>
      </c>
      <c r="L49" t="s">
        <v>24</v>
      </c>
      <c r="M49">
        <v>431</v>
      </c>
      <c r="N49">
        <v>6231</v>
      </c>
      <c r="O49">
        <v>7478</v>
      </c>
      <c r="P49">
        <v>8039</v>
      </c>
      <c r="Q49">
        <v>8271</v>
      </c>
      <c r="R49" s="3">
        <f t="shared" si="1"/>
        <v>1.0930046233022455</v>
      </c>
    </row>
    <row r="50" spans="1:18" x14ac:dyDescent="0.25">
      <c r="A50" t="s">
        <v>199</v>
      </c>
      <c r="B50" t="s">
        <v>200</v>
      </c>
      <c r="C50" t="s">
        <v>201</v>
      </c>
      <c r="D50" t="s">
        <v>202</v>
      </c>
      <c r="E50" t="s">
        <v>203</v>
      </c>
      <c r="F50" t="s">
        <v>19</v>
      </c>
      <c r="G50" t="s">
        <v>24</v>
      </c>
      <c r="H50" t="s">
        <v>24</v>
      </c>
      <c r="I50" t="s">
        <v>24</v>
      </c>
      <c r="J50" t="s">
        <v>24</v>
      </c>
      <c r="K50" t="s">
        <v>19</v>
      </c>
      <c r="L50" t="s">
        <v>24</v>
      </c>
      <c r="M50">
        <v>8156</v>
      </c>
      <c r="N50">
        <v>1245</v>
      </c>
      <c r="O50">
        <v>791</v>
      </c>
      <c r="P50">
        <v>338</v>
      </c>
      <c r="Q50">
        <v>44</v>
      </c>
      <c r="R50" s="3">
        <f t="shared" si="1"/>
        <v>-0.72898466539472961</v>
      </c>
    </row>
    <row r="51" spans="1:18" x14ac:dyDescent="0.25">
      <c r="A51" t="s">
        <v>204</v>
      </c>
      <c r="B51" t="s">
        <v>205</v>
      </c>
      <c r="C51" t="s">
        <v>206</v>
      </c>
      <c r="D51" t="s">
        <v>207</v>
      </c>
      <c r="E51" t="s">
        <v>203</v>
      </c>
      <c r="F51" t="s">
        <v>19</v>
      </c>
      <c r="G51" t="s">
        <v>19</v>
      </c>
      <c r="H51" t="s">
        <v>19</v>
      </c>
      <c r="I51" t="s">
        <v>24</v>
      </c>
      <c r="J51" t="s">
        <v>24</v>
      </c>
      <c r="K51" t="s">
        <v>19</v>
      </c>
      <c r="L51" t="s">
        <v>24</v>
      </c>
      <c r="M51">
        <v>299</v>
      </c>
      <c r="N51">
        <v>657</v>
      </c>
      <c r="O51">
        <v>6238</v>
      </c>
      <c r="P51">
        <v>8922</v>
      </c>
      <c r="Q51">
        <v>9081</v>
      </c>
      <c r="R51" s="3">
        <f t="shared" si="1"/>
        <v>1.3475541667800686</v>
      </c>
    </row>
    <row r="52" spans="1:18" x14ac:dyDescent="0.25">
      <c r="A52" t="s">
        <v>208</v>
      </c>
      <c r="B52" t="s">
        <v>209</v>
      </c>
      <c r="C52" t="s">
        <v>210</v>
      </c>
      <c r="D52" t="s">
        <v>211</v>
      </c>
      <c r="E52" t="s">
        <v>203</v>
      </c>
      <c r="F52" t="s">
        <v>19</v>
      </c>
      <c r="G52" t="s">
        <v>19</v>
      </c>
      <c r="H52" t="s">
        <v>19</v>
      </c>
      <c r="I52" t="s">
        <v>24</v>
      </c>
      <c r="J52" t="s">
        <v>24</v>
      </c>
      <c r="K52" t="s">
        <v>19</v>
      </c>
      <c r="L52" t="s">
        <v>24</v>
      </c>
      <c r="M52">
        <v>1323</v>
      </c>
      <c r="N52">
        <v>4963</v>
      </c>
      <c r="O52">
        <v>6292</v>
      </c>
      <c r="P52">
        <v>6728</v>
      </c>
      <c r="Q52">
        <v>8202</v>
      </c>
      <c r="R52" s="3">
        <f t="shared" si="1"/>
        <v>0.57793816418173161</v>
      </c>
    </row>
    <row r="53" spans="1:18" x14ac:dyDescent="0.25">
      <c r="A53" t="s">
        <v>212</v>
      </c>
      <c r="B53" t="s">
        <v>213</v>
      </c>
      <c r="C53" t="s">
        <v>214</v>
      </c>
      <c r="D53" t="s">
        <v>215</v>
      </c>
      <c r="E53" t="s">
        <v>203</v>
      </c>
      <c r="F53" t="s">
        <v>19</v>
      </c>
      <c r="G53" t="s">
        <v>24</v>
      </c>
      <c r="H53" t="s">
        <v>24</v>
      </c>
      <c r="I53" t="s">
        <v>24</v>
      </c>
      <c r="J53" t="s">
        <v>24</v>
      </c>
      <c r="K53" t="s">
        <v>19</v>
      </c>
      <c r="L53" t="s">
        <v>24</v>
      </c>
      <c r="M53">
        <v>8466</v>
      </c>
      <c r="N53">
        <v>4079</v>
      </c>
      <c r="O53">
        <v>2797</v>
      </c>
      <c r="P53">
        <v>2245</v>
      </c>
      <c r="Q53">
        <v>1696</v>
      </c>
      <c r="R53" s="3">
        <f t="shared" si="1"/>
        <v>-0.33098339677163802</v>
      </c>
    </row>
    <row r="54" spans="1:18" x14ac:dyDescent="0.25">
      <c r="A54" t="s">
        <v>216</v>
      </c>
      <c r="B54" t="s">
        <v>217</v>
      </c>
      <c r="C54" t="s">
        <v>218</v>
      </c>
      <c r="D54" t="s">
        <v>219</v>
      </c>
      <c r="E54" t="s">
        <v>203</v>
      </c>
      <c r="F54" t="s">
        <v>19</v>
      </c>
      <c r="G54" t="s">
        <v>19</v>
      </c>
      <c r="H54" t="s">
        <v>19</v>
      </c>
      <c r="I54" t="s">
        <v>24</v>
      </c>
      <c r="J54" t="s">
        <v>24</v>
      </c>
      <c r="K54" t="s">
        <v>19</v>
      </c>
      <c r="L54" t="s">
        <v>24</v>
      </c>
      <c r="M54">
        <v>870</v>
      </c>
      <c r="N54">
        <v>2428</v>
      </c>
      <c r="O54">
        <v>7386</v>
      </c>
      <c r="P54">
        <v>8835</v>
      </c>
      <c r="Q54">
        <v>9766</v>
      </c>
      <c r="R54" s="3">
        <f t="shared" si="1"/>
        <v>0.83041416010220881</v>
      </c>
    </row>
    <row r="55" spans="1:18" x14ac:dyDescent="0.25">
      <c r="A55" t="s">
        <v>220</v>
      </c>
      <c r="B55" t="s">
        <v>221</v>
      </c>
      <c r="C55" t="s">
        <v>222</v>
      </c>
      <c r="D55" t="s">
        <v>223</v>
      </c>
      <c r="E55" t="s">
        <v>203</v>
      </c>
      <c r="F55" t="s">
        <v>19</v>
      </c>
      <c r="G55" t="s">
        <v>19</v>
      </c>
      <c r="H55" t="s">
        <v>19</v>
      </c>
      <c r="I55" t="s">
        <v>24</v>
      </c>
      <c r="J55" t="s">
        <v>24</v>
      </c>
      <c r="K55" t="s">
        <v>19</v>
      </c>
      <c r="L55" t="s">
        <v>24</v>
      </c>
      <c r="M55">
        <v>1497</v>
      </c>
      <c r="N55">
        <v>1768</v>
      </c>
      <c r="O55">
        <v>2804</v>
      </c>
      <c r="P55">
        <v>5718</v>
      </c>
      <c r="Q55">
        <v>9822</v>
      </c>
      <c r="R55" s="3">
        <f t="shared" si="1"/>
        <v>0.60045892388204325</v>
      </c>
    </row>
    <row r="56" spans="1:18" x14ac:dyDescent="0.25">
      <c r="A56" t="s">
        <v>224</v>
      </c>
      <c r="B56" t="s">
        <v>225</v>
      </c>
      <c r="C56" t="s">
        <v>226</v>
      </c>
      <c r="D56" t="s">
        <v>227</v>
      </c>
      <c r="E56" t="s">
        <v>203</v>
      </c>
      <c r="F56" t="s">
        <v>19</v>
      </c>
      <c r="G56" t="s">
        <v>19</v>
      </c>
      <c r="H56" t="s">
        <v>19</v>
      </c>
      <c r="I56" t="s">
        <v>24</v>
      </c>
      <c r="J56" t="s">
        <v>24</v>
      </c>
      <c r="K56" t="s">
        <v>19</v>
      </c>
      <c r="L56" t="s">
        <v>24</v>
      </c>
      <c r="M56">
        <v>1082</v>
      </c>
      <c r="N56">
        <v>3353</v>
      </c>
      <c r="O56">
        <v>6351</v>
      </c>
      <c r="P56">
        <v>8550</v>
      </c>
      <c r="Q56">
        <v>9272</v>
      </c>
      <c r="R56" s="3">
        <f t="shared" si="1"/>
        <v>0.71094693671276654</v>
      </c>
    </row>
    <row r="57" spans="1:18" x14ac:dyDescent="0.25">
      <c r="A57" t="s">
        <v>228</v>
      </c>
      <c r="B57" t="s">
        <v>229</v>
      </c>
      <c r="C57" t="s">
        <v>230</v>
      </c>
      <c r="D57" t="s">
        <v>231</v>
      </c>
      <c r="E57" t="s">
        <v>203</v>
      </c>
      <c r="F57" t="s">
        <v>19</v>
      </c>
      <c r="G57" t="s">
        <v>19</v>
      </c>
      <c r="H57" t="s">
        <v>24</v>
      </c>
      <c r="I57" t="s">
        <v>24</v>
      </c>
      <c r="J57" t="s">
        <v>24</v>
      </c>
      <c r="K57" t="s">
        <v>19</v>
      </c>
      <c r="L57" t="s">
        <v>24</v>
      </c>
      <c r="M57">
        <v>9791</v>
      </c>
      <c r="N57">
        <v>9610</v>
      </c>
      <c r="O57">
        <v>7534</v>
      </c>
      <c r="P57">
        <v>5080</v>
      </c>
      <c r="Q57">
        <v>4936</v>
      </c>
      <c r="R57" s="3">
        <f t="shared" si="1"/>
        <v>-0.15736979056747447</v>
      </c>
    </row>
    <row r="58" spans="1:18" x14ac:dyDescent="0.25">
      <c r="A58" t="s">
        <v>232</v>
      </c>
      <c r="B58" t="s">
        <v>233</v>
      </c>
      <c r="C58" t="s">
        <v>234</v>
      </c>
      <c r="D58" t="s">
        <v>235</v>
      </c>
      <c r="E58" t="s">
        <v>203</v>
      </c>
      <c r="F58" t="s">
        <v>19</v>
      </c>
      <c r="G58" t="s">
        <v>19</v>
      </c>
      <c r="H58" t="s">
        <v>19</v>
      </c>
      <c r="I58" t="s">
        <v>24</v>
      </c>
      <c r="J58" t="s">
        <v>24</v>
      </c>
      <c r="K58" t="s">
        <v>19</v>
      </c>
      <c r="L58" t="s">
        <v>24</v>
      </c>
      <c r="M58">
        <v>1357</v>
      </c>
      <c r="N58">
        <v>4189</v>
      </c>
      <c r="O58">
        <v>5407</v>
      </c>
      <c r="P58">
        <v>6233</v>
      </c>
      <c r="Q58">
        <v>9681</v>
      </c>
      <c r="R58" s="3">
        <f t="shared" si="1"/>
        <v>0.63431246502429839</v>
      </c>
    </row>
    <row r="59" spans="1:18" x14ac:dyDescent="0.25">
      <c r="A59" t="s">
        <v>236</v>
      </c>
      <c r="B59" t="s">
        <v>237</v>
      </c>
      <c r="C59" t="s">
        <v>238</v>
      </c>
      <c r="D59" t="s">
        <v>239</v>
      </c>
      <c r="E59" t="s">
        <v>203</v>
      </c>
      <c r="F59" t="s">
        <v>19</v>
      </c>
      <c r="G59" t="s">
        <v>24</v>
      </c>
      <c r="H59" t="s">
        <v>24</v>
      </c>
      <c r="I59" t="s">
        <v>24</v>
      </c>
      <c r="J59" t="s">
        <v>24</v>
      </c>
      <c r="K59" t="s">
        <v>19</v>
      </c>
      <c r="L59" t="s">
        <v>24</v>
      </c>
      <c r="M59">
        <v>576</v>
      </c>
      <c r="N59">
        <v>2628</v>
      </c>
      <c r="O59">
        <v>3612</v>
      </c>
      <c r="P59">
        <v>5066</v>
      </c>
      <c r="Q59">
        <v>5156</v>
      </c>
      <c r="R59" s="3">
        <f t="shared" si="1"/>
        <v>0.72970725225475852</v>
      </c>
    </row>
    <row r="60" spans="1:18" x14ac:dyDescent="0.25">
      <c r="A60" t="s">
        <v>240</v>
      </c>
      <c r="B60" t="s">
        <v>241</v>
      </c>
      <c r="C60" t="s">
        <v>242</v>
      </c>
      <c r="D60" t="s">
        <v>243</v>
      </c>
      <c r="E60" t="s">
        <v>203</v>
      </c>
      <c r="F60" t="s">
        <v>19</v>
      </c>
      <c r="G60" t="s">
        <v>19</v>
      </c>
      <c r="H60" t="s">
        <v>19</v>
      </c>
      <c r="I60" t="s">
        <v>24</v>
      </c>
      <c r="J60" t="s">
        <v>24</v>
      </c>
      <c r="K60" t="s">
        <v>19</v>
      </c>
      <c r="L60" t="s">
        <v>24</v>
      </c>
      <c r="M60">
        <v>128</v>
      </c>
      <c r="N60">
        <v>416</v>
      </c>
      <c r="O60">
        <v>747</v>
      </c>
      <c r="P60">
        <v>1028</v>
      </c>
      <c r="Q60">
        <v>6357</v>
      </c>
      <c r="R60" s="3">
        <f t="shared" si="1"/>
        <v>1.6546701130112136</v>
      </c>
    </row>
    <row r="61" spans="1:18" x14ac:dyDescent="0.25">
      <c r="A61" t="s">
        <v>244</v>
      </c>
      <c r="B61" t="s">
        <v>245</v>
      </c>
      <c r="C61" t="s">
        <v>246</v>
      </c>
      <c r="D61" t="s">
        <v>247</v>
      </c>
      <c r="E61" t="s">
        <v>203</v>
      </c>
      <c r="F61" t="s">
        <v>19</v>
      </c>
      <c r="G61" t="s">
        <v>24</v>
      </c>
      <c r="H61" t="s">
        <v>24</v>
      </c>
      <c r="I61" t="s">
        <v>24</v>
      </c>
      <c r="J61" t="s">
        <v>24</v>
      </c>
      <c r="K61" t="s">
        <v>24</v>
      </c>
      <c r="L61" t="s">
        <v>24</v>
      </c>
      <c r="M61">
        <v>8034</v>
      </c>
      <c r="N61">
        <v>6541</v>
      </c>
      <c r="O61">
        <v>3311</v>
      </c>
      <c r="P61">
        <v>3254</v>
      </c>
      <c r="Q61">
        <v>2687</v>
      </c>
      <c r="R61" s="3">
        <f t="shared" si="1"/>
        <v>-0.23952671916055424</v>
      </c>
    </row>
    <row r="62" spans="1:18" x14ac:dyDescent="0.25">
      <c r="A62" t="s">
        <v>248</v>
      </c>
      <c r="B62" t="s">
        <v>249</v>
      </c>
      <c r="C62" t="s">
        <v>250</v>
      </c>
      <c r="D62" t="s">
        <v>251</v>
      </c>
      <c r="E62" t="s">
        <v>203</v>
      </c>
      <c r="F62" t="s">
        <v>19</v>
      </c>
      <c r="G62" t="s">
        <v>19</v>
      </c>
      <c r="H62" t="s">
        <v>19</v>
      </c>
      <c r="I62" t="s">
        <v>24</v>
      </c>
      <c r="J62" t="s">
        <v>24</v>
      </c>
      <c r="K62" t="s">
        <v>24</v>
      </c>
      <c r="L62" t="s">
        <v>24</v>
      </c>
      <c r="M62">
        <v>1263</v>
      </c>
      <c r="N62">
        <v>2517</v>
      </c>
      <c r="O62">
        <v>8042</v>
      </c>
      <c r="P62">
        <v>8222</v>
      </c>
      <c r="Q62">
        <v>9686</v>
      </c>
      <c r="R62" s="3">
        <f t="shared" si="1"/>
        <v>0.66412244620782168</v>
      </c>
    </row>
    <row r="63" spans="1:18" x14ac:dyDescent="0.25">
      <c r="A63" t="s">
        <v>252</v>
      </c>
      <c r="B63" t="s">
        <v>253</v>
      </c>
      <c r="C63" t="s">
        <v>254</v>
      </c>
      <c r="D63" t="s">
        <v>255</v>
      </c>
      <c r="E63" t="s">
        <v>203</v>
      </c>
      <c r="F63" t="s">
        <v>19</v>
      </c>
      <c r="G63" t="s">
        <v>19</v>
      </c>
      <c r="H63" t="s">
        <v>19</v>
      </c>
      <c r="I63" t="s">
        <v>24</v>
      </c>
      <c r="J63" t="s">
        <v>24</v>
      </c>
      <c r="K63" t="s">
        <v>24</v>
      </c>
      <c r="L63" t="s">
        <v>24</v>
      </c>
      <c r="M63">
        <v>1032</v>
      </c>
      <c r="N63">
        <v>3919</v>
      </c>
      <c r="O63">
        <v>4466</v>
      </c>
      <c r="P63">
        <v>5568</v>
      </c>
      <c r="Q63">
        <v>6476</v>
      </c>
      <c r="R63" s="3">
        <f t="shared" si="1"/>
        <v>0.58272982283102692</v>
      </c>
    </row>
    <row r="64" spans="1:18" x14ac:dyDescent="0.25">
      <c r="A64" t="s">
        <v>256</v>
      </c>
      <c r="B64" t="s">
        <v>257</v>
      </c>
      <c r="C64" t="s">
        <v>258</v>
      </c>
      <c r="D64" t="s">
        <v>259</v>
      </c>
      <c r="E64" t="s">
        <v>203</v>
      </c>
      <c r="F64" t="s">
        <v>19</v>
      </c>
      <c r="G64" t="s">
        <v>19</v>
      </c>
      <c r="H64" t="s">
        <v>19</v>
      </c>
      <c r="I64" t="s">
        <v>24</v>
      </c>
      <c r="J64" t="s">
        <v>24</v>
      </c>
      <c r="K64" t="s">
        <v>24</v>
      </c>
      <c r="L64" t="s">
        <v>24</v>
      </c>
      <c r="M64">
        <v>1014</v>
      </c>
      <c r="N64">
        <v>2254</v>
      </c>
      <c r="O64">
        <v>4534</v>
      </c>
      <c r="P64">
        <v>6796</v>
      </c>
      <c r="Q64">
        <v>7730</v>
      </c>
      <c r="R64" s="3">
        <f t="shared" si="1"/>
        <v>0.66163405613342663</v>
      </c>
    </row>
  </sheetData>
  <sortState xmlns:xlrd2="http://schemas.microsoft.com/office/spreadsheetml/2017/richdata2" columnSort="1" ref="M64:Q64">
    <sortCondition ref="M64:Q64"/>
  </sortState>
  <phoneticPr fontId="3" type="noConversion"/>
  <conditionalFormatting sqref="M5:Q64">
    <cfRule type="top10" dxfId="0" priority="2" percent="1" rank="10"/>
    <cfRule type="top10" dxfId="1" priority="1" percent="1" bottom="1" rank="10"/>
  </conditionalFormatting>
  <pageMargins left="0.7" right="0.7" top="0.75" bottom="0.75" header="0.3" footer="0.3"/>
  <pageSetup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2274F-BB1B-41E1-96D8-38C626ED37AF}">
  <dimension ref="C9:F25"/>
  <sheetViews>
    <sheetView topLeftCell="C5" workbookViewId="0">
      <selection activeCell="R26" sqref="R26"/>
    </sheetView>
  </sheetViews>
  <sheetFormatPr defaultRowHeight="15" x14ac:dyDescent="0.25"/>
  <cols>
    <col min="3" max="3" width="16.42578125" bestFit="1" customWidth="1"/>
    <col min="4" max="4" width="21.140625" bestFit="1" customWidth="1"/>
    <col min="5" max="6" width="17" bestFit="1" customWidth="1"/>
  </cols>
  <sheetData>
    <row r="9" spans="3:6" x14ac:dyDescent="0.25">
      <c r="C9" s="4" t="s">
        <v>264</v>
      </c>
      <c r="D9" t="s">
        <v>267</v>
      </c>
      <c r="E9" t="s">
        <v>268</v>
      </c>
      <c r="F9" t="s">
        <v>274</v>
      </c>
    </row>
    <row r="10" spans="3:6" x14ac:dyDescent="0.25">
      <c r="C10" s="5" t="s">
        <v>71</v>
      </c>
      <c r="D10" s="8">
        <v>1</v>
      </c>
      <c r="E10" s="8">
        <v>1</v>
      </c>
      <c r="F10" s="8">
        <v>1</v>
      </c>
    </row>
    <row r="11" spans="3:6" x14ac:dyDescent="0.25">
      <c r="C11" s="5" t="s">
        <v>16</v>
      </c>
      <c r="D11" s="8">
        <v>1</v>
      </c>
      <c r="E11" s="8">
        <v>1</v>
      </c>
      <c r="F11" s="8">
        <v>1</v>
      </c>
    </row>
    <row r="12" spans="3:6" x14ac:dyDescent="0.25">
      <c r="C12" s="5" t="s">
        <v>59</v>
      </c>
      <c r="D12" s="8">
        <v>1</v>
      </c>
      <c r="E12" s="8">
        <v>1</v>
      </c>
      <c r="F12" s="8">
        <v>1</v>
      </c>
    </row>
    <row r="13" spans="3:6" x14ac:dyDescent="0.25">
      <c r="C13" s="5" t="s">
        <v>55</v>
      </c>
      <c r="D13" s="8">
        <v>1</v>
      </c>
      <c r="E13" s="8">
        <v>1</v>
      </c>
      <c r="F13" s="8">
        <v>1</v>
      </c>
    </row>
    <row r="14" spans="3:6" x14ac:dyDescent="0.25">
      <c r="C14" s="5" t="s">
        <v>63</v>
      </c>
      <c r="D14" s="8">
        <v>1</v>
      </c>
      <c r="E14" s="8">
        <v>1</v>
      </c>
      <c r="F14" s="8">
        <v>1</v>
      </c>
    </row>
    <row r="15" spans="3:6" x14ac:dyDescent="0.25">
      <c r="C15" s="5" t="s">
        <v>47</v>
      </c>
      <c r="D15" s="8">
        <v>1</v>
      </c>
      <c r="E15" s="8">
        <v>1</v>
      </c>
      <c r="F15" s="8">
        <v>1</v>
      </c>
    </row>
    <row r="16" spans="3:6" x14ac:dyDescent="0.25">
      <c r="C16" s="5" t="s">
        <v>75</v>
      </c>
      <c r="D16" s="8">
        <v>1</v>
      </c>
      <c r="E16" s="8">
        <v>1</v>
      </c>
      <c r="F16" s="8">
        <v>1</v>
      </c>
    </row>
    <row r="17" spans="3:6" x14ac:dyDescent="0.25">
      <c r="C17" s="5" t="s">
        <v>22</v>
      </c>
      <c r="D17" s="8">
        <v>1</v>
      </c>
      <c r="E17" s="8">
        <v>1</v>
      </c>
      <c r="F17" s="8">
        <v>1</v>
      </c>
    </row>
    <row r="18" spans="3:6" x14ac:dyDescent="0.25">
      <c r="C18" s="5" t="s">
        <v>43</v>
      </c>
      <c r="D18" s="8">
        <v>1</v>
      </c>
      <c r="E18" s="8">
        <v>1</v>
      </c>
      <c r="F18" s="8">
        <v>1</v>
      </c>
    </row>
    <row r="19" spans="3:6" x14ac:dyDescent="0.25">
      <c r="C19" s="5" t="s">
        <v>39</v>
      </c>
      <c r="D19" s="8">
        <v>1</v>
      </c>
      <c r="E19" s="8">
        <v>1</v>
      </c>
      <c r="F19" s="8">
        <v>1</v>
      </c>
    </row>
    <row r="20" spans="3:6" x14ac:dyDescent="0.25">
      <c r="C20" s="5" t="s">
        <v>35</v>
      </c>
      <c r="D20" s="8">
        <v>1</v>
      </c>
      <c r="E20" s="8">
        <v>1</v>
      </c>
      <c r="F20" s="8">
        <v>1</v>
      </c>
    </row>
    <row r="21" spans="3:6" x14ac:dyDescent="0.25">
      <c r="C21" s="5" t="s">
        <v>31</v>
      </c>
      <c r="D21" s="8">
        <v>1</v>
      </c>
      <c r="E21" s="8">
        <v>1</v>
      </c>
      <c r="F21" s="8">
        <v>1</v>
      </c>
    </row>
    <row r="22" spans="3:6" x14ac:dyDescent="0.25">
      <c r="C22" s="5" t="s">
        <v>67</v>
      </c>
      <c r="D22" s="8">
        <v>1</v>
      </c>
      <c r="E22" s="8">
        <v>1</v>
      </c>
      <c r="F22" s="8">
        <v>1</v>
      </c>
    </row>
    <row r="23" spans="3:6" x14ac:dyDescent="0.25">
      <c r="C23" s="5" t="s">
        <v>51</v>
      </c>
      <c r="D23" s="8">
        <v>1</v>
      </c>
      <c r="E23" s="8">
        <v>1</v>
      </c>
      <c r="F23" s="8">
        <v>1</v>
      </c>
    </row>
    <row r="24" spans="3:6" x14ac:dyDescent="0.25">
      <c r="C24" s="5" t="s">
        <v>27</v>
      </c>
      <c r="D24" s="8">
        <v>1</v>
      </c>
      <c r="E24" s="8">
        <v>1</v>
      </c>
      <c r="F24" s="8">
        <v>1</v>
      </c>
    </row>
    <row r="25" spans="3:6" x14ac:dyDescent="0.25">
      <c r="C25" s="5" t="s">
        <v>265</v>
      </c>
      <c r="D25" s="8">
        <v>15</v>
      </c>
      <c r="E25" s="8">
        <v>15</v>
      </c>
      <c r="F25" s="8">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Malone</dc:creator>
  <cp:keywords/>
  <dc:description/>
  <cp:lastModifiedBy>DELL</cp:lastModifiedBy>
  <cp:revision/>
  <dcterms:created xsi:type="dcterms:W3CDTF">2022-01-18T02:47:06Z</dcterms:created>
  <dcterms:modified xsi:type="dcterms:W3CDTF">2024-07-01T04:55:09Z</dcterms:modified>
  <cp:category/>
  <cp:contentStatus/>
</cp:coreProperties>
</file>