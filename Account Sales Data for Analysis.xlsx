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 by jp morgan\"/>
    </mc:Choice>
  </mc:AlternateContent>
  <xr:revisionPtr revIDLastSave="0" documentId="13_ncr:1_{25221732-1DFC-4022-90A6-D1F46F251DC7}" xr6:coauthVersionLast="47" xr6:coauthVersionMax="47" xr10:uidLastSave="{00000000-0000-0000-0000-000000000000}"/>
  <bookViews>
    <workbookView xWindow="-110" yWindow="-110" windowWidth="19420" windowHeight="11500" xr2:uid="{88D75A90-26BD-438C-8A87-D80F31A6A4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2" i="1" l="1"/>
  <c r="R8" i="1"/>
  <c r="R9" i="1"/>
  <c r="R7" i="1"/>
  <c r="R6" i="1"/>
  <c r="R5" i="1"/>
  <c r="R10" i="1"/>
  <c r="R11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</calcChain>
</file>

<file path=xl/sharedStrings.xml><?xml version="1.0" encoding="utf-8"?>
<sst xmlns="http://schemas.openxmlformats.org/spreadsheetml/2006/main" count="731" uniqueCount="263">
  <si>
    <t xml:space="preserve">JPMC Excel Skills Virtual Experience Hypothetical Account Dataset </t>
  </si>
  <si>
    <t>Product Lines</t>
  </si>
  <si>
    <t>Marketing / Promotion Programs</t>
  </si>
  <si>
    <t>Product 1 Sales Volume (units)</t>
  </si>
  <si>
    <t>Account Name</t>
  </si>
  <si>
    <t>Account Address</t>
  </si>
  <si>
    <t>Decision Maker</t>
  </si>
  <si>
    <t>Phone Number</t>
  </si>
  <si>
    <t>Account Type</t>
  </si>
  <si>
    <t>Product 1</t>
  </si>
  <si>
    <t>Product 2</t>
  </si>
  <si>
    <t>Product 3</t>
  </si>
  <si>
    <t>Social Media</t>
  </si>
  <si>
    <t>Coupons</t>
  </si>
  <si>
    <t>Catalog Inclusion</t>
  </si>
  <si>
    <t>Posters</t>
  </si>
  <si>
    <t>5 YR CAGR</t>
  </si>
  <si>
    <t>SB 1</t>
  </si>
  <si>
    <t>2131 Patterson Road, Brooklyn NY 11201</t>
  </si>
  <si>
    <t>Dorothy Rizzo</t>
  </si>
  <si>
    <t>(880) 283-6803</t>
  </si>
  <si>
    <t>Small Business</t>
  </si>
  <si>
    <t>Yes</t>
  </si>
  <si>
    <t>SB 2</t>
  </si>
  <si>
    <t>3685 Morningview Lane, New York NY 10013</t>
  </si>
  <si>
    <t>Lawson Moore</t>
  </si>
  <si>
    <t>(711) 426-7350</t>
  </si>
  <si>
    <t>No</t>
  </si>
  <si>
    <t>SB 3</t>
  </si>
  <si>
    <t>2285 Ladybug Drive, New York NY 10013</t>
  </si>
  <si>
    <t>Vin Hudson</t>
  </si>
  <si>
    <t>(952) 952-5573</t>
  </si>
  <si>
    <t>SB 4</t>
  </si>
  <si>
    <t>2930 Southern Street, New York NY 10005</t>
  </si>
  <si>
    <t>Susana Huels</t>
  </si>
  <si>
    <t>(491) 505-6064</t>
  </si>
  <si>
    <t>SB 5</t>
  </si>
  <si>
    <t>2807 Geraldine Lane, New York NY 10004</t>
  </si>
  <si>
    <t>Shanna Hettinger</t>
  </si>
  <si>
    <t>(412) 570-0596</t>
  </si>
  <si>
    <t>SB 6</t>
  </si>
  <si>
    <t>7778 Cherry Road, Bronx NY 10467</t>
  </si>
  <si>
    <t>Roy McGlynn</t>
  </si>
  <si>
    <t>(594) 807-4187</t>
  </si>
  <si>
    <t>SB 7</t>
  </si>
  <si>
    <t>48 Winchester Avenue, New York NY 10024</t>
  </si>
  <si>
    <t>Lorena Posacco</t>
  </si>
  <si>
    <t>(678) 294-8103</t>
  </si>
  <si>
    <t>SB 8</t>
  </si>
  <si>
    <t>8735 Squaw Creek Drive, Brooklyn NY 11214</t>
  </si>
  <si>
    <t>Juanita Wisozk</t>
  </si>
  <si>
    <t>(305) 531-1310</t>
  </si>
  <si>
    <t>SB 9</t>
  </si>
  <si>
    <t>267 Third Road, New York NY 10034</t>
  </si>
  <si>
    <t>Velma Riley</t>
  </si>
  <si>
    <t>(697) 543-0310</t>
  </si>
  <si>
    <t>SB 10</t>
  </si>
  <si>
    <t>102 Coffee Court, Bronx NY 10461</t>
  </si>
  <si>
    <t>Holly Gaines</t>
  </si>
  <si>
    <t>(277) 456-4626</t>
  </si>
  <si>
    <t>SB 11</t>
  </si>
  <si>
    <t>44 W. Pheasant Street, Brooklyn NY 11233</t>
  </si>
  <si>
    <t>Gary Brown</t>
  </si>
  <si>
    <t>(459) 968-9453</t>
  </si>
  <si>
    <t>SB 12</t>
  </si>
  <si>
    <t>7488 N. Marconi Ave, Brooklyn NY 11237</t>
  </si>
  <si>
    <t>Jeffrey Akins</t>
  </si>
  <si>
    <t>(313) 417-8968</t>
  </si>
  <si>
    <t>SB 13</t>
  </si>
  <si>
    <t>9575 Shipley Court, Brooklyn NY 11201</t>
  </si>
  <si>
    <t>Tim Young</t>
  </si>
  <si>
    <t>(876) 653-1727</t>
  </si>
  <si>
    <t>SB 14</t>
  </si>
  <si>
    <t>8156 Lake View Street, New York, NY 10025</t>
  </si>
  <si>
    <t>Debra Kroll</t>
  </si>
  <si>
    <t>(628) 832-4986</t>
  </si>
  <si>
    <t>SB 15</t>
  </si>
  <si>
    <t>44 Madison Dr, New York NY 10032</t>
  </si>
  <si>
    <t>Kelly Boyd</t>
  </si>
  <si>
    <t>(220) 929-0797</t>
  </si>
  <si>
    <t>MB 1</t>
  </si>
  <si>
    <t>9848 Linden St, New York NY 10011</t>
  </si>
  <si>
    <t>Dan Hill</t>
  </si>
  <si>
    <t>(248) 450-0797</t>
  </si>
  <si>
    <t>Medium Business</t>
  </si>
  <si>
    <t>MB 2</t>
  </si>
  <si>
    <t>805 South Pilgrim Court, Brooklyn NY 11225</t>
  </si>
  <si>
    <t>Javier George</t>
  </si>
  <si>
    <t>(964) 214-3742</t>
  </si>
  <si>
    <t>MB 3</t>
  </si>
  <si>
    <t>9132 Redwood Rd, Bronx NY 10466</t>
  </si>
  <si>
    <t>Christopher Evans</t>
  </si>
  <si>
    <t>(831) 406-6300</t>
  </si>
  <si>
    <t>MB 4</t>
  </si>
  <si>
    <t>3 Warren Drive, New York NY 10040</t>
  </si>
  <si>
    <t>Julie Ross</t>
  </si>
  <si>
    <t>(778) 387-0744</t>
  </si>
  <si>
    <t>MB 5</t>
  </si>
  <si>
    <t>402 Bridgeton Lane, Bronx NY 10468</t>
  </si>
  <si>
    <t>Bill Callahan</t>
  </si>
  <si>
    <t>(617) 419-7996</t>
  </si>
  <si>
    <t>MB 6</t>
  </si>
  <si>
    <t>6 E. Nichols Ave, New York NY 10027</t>
  </si>
  <si>
    <t>Anthony Brooks</t>
  </si>
  <si>
    <t>(349) 801-7566</t>
  </si>
  <si>
    <t>MB 7</t>
  </si>
  <si>
    <t>323 North Edgewood St, Bronx NY 10457</t>
  </si>
  <si>
    <t>Charlotte Leroux</t>
  </si>
  <si>
    <t>(784) 634-6873</t>
  </si>
  <si>
    <t>MB 8</t>
  </si>
  <si>
    <t>484 Thorne St, New York NY 10128</t>
  </si>
  <si>
    <t>Nina Coulter</t>
  </si>
  <si>
    <t>(938) 752-9381</t>
  </si>
  <si>
    <t>MB 9</t>
  </si>
  <si>
    <t>861 Gonzales Lane, Bronx NY 10472</t>
  </si>
  <si>
    <t>Mia Ang</t>
  </si>
  <si>
    <t>(253) 861-1301</t>
  </si>
  <si>
    <t>MB 10</t>
  </si>
  <si>
    <t>267 Randall Mill Dr, New York NY 10033</t>
  </si>
  <si>
    <t>Kathy Rogers</t>
  </si>
  <si>
    <t>(939) 738-6471</t>
  </si>
  <si>
    <t>MB 11</t>
  </si>
  <si>
    <t>12 Lees Creek St, Brooklyn NY 11211</t>
  </si>
  <si>
    <t>Rita Varga</t>
  </si>
  <si>
    <t>(754) 696-3109</t>
  </si>
  <si>
    <t>MB 12</t>
  </si>
  <si>
    <t>240 W. Manhattan St, Bronx NY 10462</t>
  </si>
  <si>
    <t>Mel Berkowitz</t>
  </si>
  <si>
    <t>(967) 547-1542</t>
  </si>
  <si>
    <t>MB 13</t>
  </si>
  <si>
    <t>62 Lower River Road, Staten Island, NY 10306</t>
  </si>
  <si>
    <t>Debra Martin</t>
  </si>
  <si>
    <t>(743) 960-6716</t>
  </si>
  <si>
    <t>MB 14</t>
  </si>
  <si>
    <t>48 S. Brandywine St, New York NY 10002</t>
  </si>
  <si>
    <t>Deshaun Fletcher</t>
  </si>
  <si>
    <t>(845) 304-6511</t>
  </si>
  <si>
    <t>MB 15</t>
  </si>
  <si>
    <t>5 Tallwood St, Brooklyn NY 11233</t>
  </si>
  <si>
    <t>Kari Lenz</t>
  </si>
  <si>
    <t>(886) 554-5339</t>
  </si>
  <si>
    <t>OR 1</t>
  </si>
  <si>
    <t>77 Stillwater St, Brooklyn NY 11213</t>
  </si>
  <si>
    <t>John Mackey</t>
  </si>
  <si>
    <t>(831) 581-1892</t>
  </si>
  <si>
    <t>Online Retailer</t>
  </si>
  <si>
    <t>OR 2</t>
  </si>
  <si>
    <t>7061 Bishop St, Yonkers NY 10701</t>
  </si>
  <si>
    <t>Raymond Heywin</t>
  </si>
  <si>
    <t>(571) 843-1746</t>
  </si>
  <si>
    <t>OR 3</t>
  </si>
  <si>
    <t>7223 Cedarwood Ave, Brooklyn NY 11221</t>
  </si>
  <si>
    <t>Janie Roberson</t>
  </si>
  <si>
    <t>(924) 516-6566</t>
  </si>
  <si>
    <t>OR 4</t>
  </si>
  <si>
    <t>62 Lafayette Ave, Bronx NY 10462</t>
  </si>
  <si>
    <t>Brooke Hayes</t>
  </si>
  <si>
    <t>(247) 999-3394</t>
  </si>
  <si>
    <t>OR 5</t>
  </si>
  <si>
    <t>7839 Elm St, Staten Island NY 10306</t>
  </si>
  <si>
    <t>Lee Niemeyer</t>
  </si>
  <si>
    <t>(920) 451-3973</t>
  </si>
  <si>
    <t>OR 6</t>
  </si>
  <si>
    <t>429 Stonybrook Dr, Brooklyn NY 11203</t>
  </si>
  <si>
    <t>Stephen Harris</t>
  </si>
  <si>
    <t>(258) 948-7479</t>
  </si>
  <si>
    <t>OR 7</t>
  </si>
  <si>
    <t>640 Beechwood Dr, Bronx NY 10461</t>
  </si>
  <si>
    <t>Juan Scott</t>
  </si>
  <si>
    <t>(357) 532-0838</t>
  </si>
  <si>
    <t>OR 8</t>
  </si>
  <si>
    <t>9453 N. Wagon Lane, Brooklyn NY 11237</t>
  </si>
  <si>
    <t>Kurt Issacs</t>
  </si>
  <si>
    <t>(454) 903-5770</t>
  </si>
  <si>
    <t>OR 9</t>
  </si>
  <si>
    <t>81 San Carlos Road, Bronx NY 10463</t>
  </si>
  <si>
    <t>Dominique Johnson</t>
  </si>
  <si>
    <t>(336) 448-7026</t>
  </si>
  <si>
    <t>OR 10</t>
  </si>
  <si>
    <t>596 Coffee St, Bronx NY 10472</t>
  </si>
  <si>
    <t>Larry Alaimo</t>
  </si>
  <si>
    <t>(242) 869-1226</t>
  </si>
  <si>
    <t>OR 11</t>
  </si>
  <si>
    <t>92 Princess St, New York NY 10033</t>
  </si>
  <si>
    <t>Carlos Moya</t>
  </si>
  <si>
    <t>(485) 453-8693</t>
  </si>
  <si>
    <t>OR 12</t>
  </si>
  <si>
    <t>9151 River St, Brooklyn NY 11230</t>
  </si>
  <si>
    <t>Shaun Salvatore</t>
  </si>
  <si>
    <t>(691) 657-1498</t>
  </si>
  <si>
    <t>OR 13</t>
  </si>
  <si>
    <t>424 Hall Ave, New York NY 10128</t>
  </si>
  <si>
    <t>Annie Fuentes</t>
  </si>
  <si>
    <t>(462) 693-6254</t>
  </si>
  <si>
    <t>OR 14</t>
  </si>
  <si>
    <t>81 Crescent St, Brooklyn NY 11210</t>
  </si>
  <si>
    <t>Maria Sawyer</t>
  </si>
  <si>
    <t>(881) 243-5276</t>
  </si>
  <si>
    <t>OR 15</t>
  </si>
  <si>
    <t>7217 Birch Hill Dr, New York NY 10009</t>
  </si>
  <si>
    <t>Darnell Straughter</t>
  </si>
  <si>
    <t>(680) 628-4625</t>
  </si>
  <si>
    <t>WD 1</t>
  </si>
  <si>
    <t>7184 Center Court, Brooklyn NY 11208</t>
  </si>
  <si>
    <t>Richard Breaux</t>
  </si>
  <si>
    <t>(685) 981-8556</t>
  </si>
  <si>
    <t>Wholesale Distributor</t>
  </si>
  <si>
    <t>WD 2</t>
  </si>
  <si>
    <t>815 2nd St, New York NY 10028</t>
  </si>
  <si>
    <t>Craig Collins</t>
  </si>
  <si>
    <t>(828) 840-2736</t>
  </si>
  <si>
    <t>WD 3</t>
  </si>
  <si>
    <t>9875 Franklin Rd, Brooklyn NY 11223</t>
  </si>
  <si>
    <t>Donna Lam</t>
  </si>
  <si>
    <t>(931) 618-9558</t>
  </si>
  <si>
    <t>WD 4</t>
  </si>
  <si>
    <t>601 Bank Ave, Brooklyn NY 11218</t>
  </si>
  <si>
    <t>Teresa Vasbinder</t>
  </si>
  <si>
    <t>(261) 690-0303</t>
  </si>
  <si>
    <t>WD 5</t>
  </si>
  <si>
    <t>21 Yukon St, Bronx NY 10451</t>
  </si>
  <si>
    <t>Andre Mobley</t>
  </si>
  <si>
    <t>(597) 701-9429</t>
  </si>
  <si>
    <t>WD 6</t>
  </si>
  <si>
    <t>18 N. Woodland Ave, New York NY 10025</t>
  </si>
  <si>
    <t>Ray Hernandez</t>
  </si>
  <si>
    <t>(609) 345-8163</t>
  </si>
  <si>
    <t>WD 7</t>
  </si>
  <si>
    <t>65 Lower River Ave, Bronx NY 10465</t>
  </si>
  <si>
    <t>Thomas Stewart</t>
  </si>
  <si>
    <t>(381) 643-1230</t>
  </si>
  <si>
    <t>WD 8</t>
  </si>
  <si>
    <t>8680 Alderwood St, New York NY 10032</t>
  </si>
  <si>
    <t>Henry Lange</t>
  </si>
  <si>
    <t>(293) 473-1512</t>
  </si>
  <si>
    <t>WD 9</t>
  </si>
  <si>
    <t>8388 Gonzales St, Brooklyn NY 11228</t>
  </si>
  <si>
    <t>Danielle Tomas</t>
  </si>
  <si>
    <t>(459) 261-2301</t>
  </si>
  <si>
    <t>WD 10</t>
  </si>
  <si>
    <t>9760 Taylor Dr, Brooklyn NY 11211</t>
  </si>
  <si>
    <t>Joe Schimke</t>
  </si>
  <si>
    <t>(936) 816-9148</t>
  </si>
  <si>
    <t>WD 11</t>
  </si>
  <si>
    <t>419 E. Henry Ave, New York NY 10031</t>
  </si>
  <si>
    <t>Carlos Jackson</t>
  </si>
  <si>
    <t>(201) 363-0653</t>
  </si>
  <si>
    <t>WD 12</t>
  </si>
  <si>
    <t>8083 8th St, Brooklyn NY 11209</t>
  </si>
  <si>
    <t>Russell Wallace</t>
  </si>
  <si>
    <t>(237) 890-0247</t>
  </si>
  <si>
    <t>WD 13</t>
  </si>
  <si>
    <t>2 Rock Maple Ave, New York NY 10029</t>
  </si>
  <si>
    <t>Shameka West</t>
  </si>
  <si>
    <t>(488) 656-0761</t>
  </si>
  <si>
    <t>WD 14</t>
  </si>
  <si>
    <t>9577 Nicolls Ave, Staten Island NY 10312</t>
  </si>
  <si>
    <t>Kevin Fleming</t>
  </si>
  <si>
    <t>(650) 848-8284</t>
  </si>
  <si>
    <t>WD 15</t>
  </si>
  <si>
    <t>174 Del Monte St, Brooklyn NY 11224</t>
  </si>
  <si>
    <t>Anna Grey</t>
  </si>
  <si>
    <t>(980) 437-1451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</si>
</sst>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 patternType="solid">
          <fgColor theme="0"/>
          <bgColor rgb="FF7030A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086C-A415-4735-B36A-95FDECF3BB02}">
  <dimension ref="A1:R64"/>
  <sheetViews>
    <sheetView tabSelected="1" topLeftCell="E1" zoomScale="80" zoomScaleNormal="80" workbookViewId="0">
      <selection activeCell="U8" sqref="U8"/>
    </sheetView>
  </sheetViews>
  <sheetFormatPr defaultRowHeight="14.5" x14ac:dyDescent="0.35"/>
  <cols>
    <col min="1" max="1" width="13.7265625" customWidth="1"/>
    <col min="2" max="2" width="41.1796875" customWidth="1"/>
    <col min="3" max="3" width="21.1796875" customWidth="1"/>
    <col min="4" max="4" width="16.7265625" customWidth="1"/>
    <col min="5" max="5" width="28.54296875" customWidth="1"/>
    <col min="6" max="6" width="10" customWidth="1"/>
    <col min="7" max="7" width="10.1796875" customWidth="1"/>
    <col min="8" max="8" width="10.26953125" customWidth="1"/>
    <col min="9" max="9" width="13" customWidth="1"/>
    <col min="10" max="10" width="9.81640625" customWidth="1"/>
    <col min="11" max="11" width="16.81640625" customWidth="1"/>
    <col min="18" max="18" width="10.453125" customWidth="1"/>
  </cols>
  <sheetData>
    <row r="1" spans="1:18" ht="18.5" x14ac:dyDescent="0.45">
      <c r="A1" s="2" t="s">
        <v>0</v>
      </c>
    </row>
    <row r="3" spans="1:18" x14ac:dyDescent="0.35">
      <c r="A3" s="1"/>
      <c r="B3" s="1"/>
      <c r="C3" s="1"/>
      <c r="D3" s="1"/>
      <c r="E3" s="1"/>
      <c r="F3" s="9" t="s">
        <v>1</v>
      </c>
      <c r="G3" s="10"/>
      <c r="H3" s="10"/>
      <c r="I3" s="5" t="s">
        <v>2</v>
      </c>
      <c r="J3" s="6"/>
      <c r="K3" s="6"/>
      <c r="L3" s="6"/>
      <c r="M3" s="7" t="s">
        <v>3</v>
      </c>
      <c r="N3" s="8"/>
      <c r="O3" s="8"/>
      <c r="P3" s="8"/>
      <c r="Q3" s="8"/>
      <c r="R3" s="3"/>
    </row>
    <row r="4" spans="1:18" x14ac:dyDescent="0.3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>
        <v>2017</v>
      </c>
      <c r="N4" s="1">
        <v>2018</v>
      </c>
      <c r="O4" s="1">
        <v>2019</v>
      </c>
      <c r="P4" s="1">
        <v>2020</v>
      </c>
      <c r="Q4" s="1">
        <v>2021</v>
      </c>
      <c r="R4" s="1" t="s">
        <v>16</v>
      </c>
    </row>
    <row r="5" spans="1:18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>
        <v>1982</v>
      </c>
      <c r="N5">
        <v>5388</v>
      </c>
      <c r="O5">
        <v>7063</v>
      </c>
      <c r="P5">
        <v>7208</v>
      </c>
      <c r="Q5">
        <v>9093</v>
      </c>
      <c r="R5" s="4">
        <f>_xlfn.RRI($Q$4-$M$4,M5,Q5)</f>
        <v>0.46352749292411066</v>
      </c>
    </row>
    <row r="6" spans="1:18" x14ac:dyDescent="0.35">
      <c r="A6" t="s">
        <v>23</v>
      </c>
      <c r="B6" t="s">
        <v>24</v>
      </c>
      <c r="C6" t="s">
        <v>25</v>
      </c>
      <c r="D6" t="s">
        <v>26</v>
      </c>
      <c r="E6" t="s">
        <v>21</v>
      </c>
      <c r="F6" t="s">
        <v>22</v>
      </c>
      <c r="G6" t="s">
        <v>22</v>
      </c>
      <c r="H6" t="s">
        <v>22</v>
      </c>
      <c r="I6" t="s">
        <v>27</v>
      </c>
      <c r="J6" t="s">
        <v>22</v>
      </c>
      <c r="K6" t="s">
        <v>22</v>
      </c>
      <c r="L6" t="s">
        <v>22</v>
      </c>
      <c r="M6">
        <v>2786</v>
      </c>
      <c r="N6">
        <v>3804</v>
      </c>
      <c r="O6">
        <v>4121</v>
      </c>
      <c r="P6">
        <v>6210</v>
      </c>
      <c r="Q6">
        <v>6909</v>
      </c>
      <c r="R6" s="4">
        <f>_xlfn.RRI($Q$4-$M$4,M6,Q6)</f>
        <v>0.25489826874508914</v>
      </c>
    </row>
    <row r="7" spans="1:18" x14ac:dyDescent="0.35">
      <c r="A7" t="s">
        <v>28</v>
      </c>
      <c r="B7" t="s">
        <v>29</v>
      </c>
      <c r="C7" t="s">
        <v>30</v>
      </c>
      <c r="D7" t="s">
        <v>31</v>
      </c>
      <c r="E7" t="s">
        <v>21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>
        <v>1209</v>
      </c>
      <c r="N7">
        <v>1534</v>
      </c>
      <c r="O7">
        <v>1634</v>
      </c>
      <c r="P7">
        <v>4302</v>
      </c>
      <c r="Q7">
        <v>9768</v>
      </c>
      <c r="R7" s="4">
        <f>_xlfn.RRI($Q$4-$M$4,M7,Q7)</f>
        <v>0.68595057009486848</v>
      </c>
    </row>
    <row r="8" spans="1:18" x14ac:dyDescent="0.35">
      <c r="A8" t="s">
        <v>32</v>
      </c>
      <c r="B8" t="s">
        <v>33</v>
      </c>
      <c r="C8" t="s">
        <v>34</v>
      </c>
      <c r="D8" t="s">
        <v>35</v>
      </c>
      <c r="E8" t="s">
        <v>21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>
        <v>906</v>
      </c>
      <c r="N8">
        <v>1251</v>
      </c>
      <c r="O8">
        <v>2897</v>
      </c>
      <c r="P8">
        <v>4499</v>
      </c>
      <c r="Q8">
        <v>9428</v>
      </c>
      <c r="R8" s="4">
        <f t="shared" ref="R8:R9" si="0">_xlfn.RRI($Q$4-$M$4,M8,Q8)</f>
        <v>0.79606828454142997</v>
      </c>
    </row>
    <row r="9" spans="1:18" x14ac:dyDescent="0.35">
      <c r="A9" t="s">
        <v>36</v>
      </c>
      <c r="B9" t="s">
        <v>37</v>
      </c>
      <c r="C9" t="s">
        <v>38</v>
      </c>
      <c r="D9" t="s">
        <v>39</v>
      </c>
      <c r="E9" t="s">
        <v>21</v>
      </c>
      <c r="F9" t="s">
        <v>22</v>
      </c>
      <c r="G9" t="s">
        <v>22</v>
      </c>
      <c r="H9" t="s">
        <v>27</v>
      </c>
      <c r="I9" t="s">
        <v>22</v>
      </c>
      <c r="J9" t="s">
        <v>22</v>
      </c>
      <c r="K9" t="s">
        <v>22</v>
      </c>
      <c r="L9" t="s">
        <v>22</v>
      </c>
      <c r="M9">
        <v>1421</v>
      </c>
      <c r="N9">
        <v>1893</v>
      </c>
      <c r="O9">
        <v>2722</v>
      </c>
      <c r="P9">
        <v>4410</v>
      </c>
      <c r="Q9">
        <v>5873</v>
      </c>
      <c r="R9" s="4">
        <f t="shared" si="0"/>
        <v>0.42582583880267388</v>
      </c>
    </row>
    <row r="10" spans="1:18" x14ac:dyDescent="0.35">
      <c r="A10" t="s">
        <v>40</v>
      </c>
      <c r="B10" t="s">
        <v>41</v>
      </c>
      <c r="C10" t="s">
        <v>42</v>
      </c>
      <c r="D10" t="s">
        <v>43</v>
      </c>
      <c r="E10" t="s">
        <v>21</v>
      </c>
      <c r="F10" t="s">
        <v>22</v>
      </c>
      <c r="G10" t="s">
        <v>22</v>
      </c>
      <c r="H10" t="s">
        <v>22</v>
      </c>
      <c r="I10" t="s">
        <v>27</v>
      </c>
      <c r="J10" t="s">
        <v>22</v>
      </c>
      <c r="K10" t="s">
        <v>22</v>
      </c>
      <c r="L10" t="s">
        <v>27</v>
      </c>
      <c r="M10">
        <v>2341</v>
      </c>
      <c r="N10">
        <v>6105</v>
      </c>
      <c r="O10">
        <v>7777</v>
      </c>
      <c r="P10">
        <v>7891</v>
      </c>
      <c r="Q10">
        <v>8758</v>
      </c>
      <c r="R10" s="4">
        <f t="shared" ref="R6:R64" si="1">_xlfn.RRI($Q$4-$M$4,M10,Q10)</f>
        <v>0.390755806385503</v>
      </c>
    </row>
    <row r="11" spans="1:18" x14ac:dyDescent="0.35">
      <c r="A11" t="s">
        <v>44</v>
      </c>
      <c r="B11" t="s">
        <v>45</v>
      </c>
      <c r="C11" t="s">
        <v>46</v>
      </c>
      <c r="D11" t="s">
        <v>47</v>
      </c>
      <c r="E11" t="s">
        <v>21</v>
      </c>
      <c r="F11" t="s">
        <v>22</v>
      </c>
      <c r="G11" t="s">
        <v>27</v>
      </c>
      <c r="H11" t="s">
        <v>27</v>
      </c>
      <c r="I11" t="s">
        <v>27</v>
      </c>
      <c r="J11" t="s">
        <v>27</v>
      </c>
      <c r="K11" t="s">
        <v>22</v>
      </c>
      <c r="L11" t="s">
        <v>27</v>
      </c>
      <c r="M11">
        <v>9252</v>
      </c>
      <c r="N11">
        <v>8499</v>
      </c>
      <c r="O11">
        <v>991</v>
      </c>
      <c r="P11">
        <v>448</v>
      </c>
      <c r="Q11">
        <v>211</v>
      </c>
      <c r="R11" s="4">
        <f t="shared" si="1"/>
        <v>-0.61139202601329412</v>
      </c>
    </row>
    <row r="12" spans="1:18" x14ac:dyDescent="0.35">
      <c r="A12" t="s">
        <v>48</v>
      </c>
      <c r="B12" t="s">
        <v>49</v>
      </c>
      <c r="C12" t="s">
        <v>50</v>
      </c>
      <c r="D12" t="s">
        <v>51</v>
      </c>
      <c r="E12" t="s">
        <v>21</v>
      </c>
      <c r="F12" t="s">
        <v>22</v>
      </c>
      <c r="I12" t="s">
        <v>22</v>
      </c>
      <c r="J12" t="s">
        <v>27</v>
      </c>
      <c r="K12" t="s">
        <v>22</v>
      </c>
      <c r="L12" t="s">
        <v>27</v>
      </c>
      <c r="M12">
        <v>1581</v>
      </c>
      <c r="N12">
        <v>4799</v>
      </c>
      <c r="O12">
        <v>6582</v>
      </c>
      <c r="P12">
        <v>9024</v>
      </c>
      <c r="Q12">
        <v>9759</v>
      </c>
      <c r="R12" s="4">
        <f>_xlfn.RRI($Q$4-$M$4,M12,Q12)</f>
        <v>0.57622554654037406</v>
      </c>
    </row>
    <row r="13" spans="1:18" x14ac:dyDescent="0.35">
      <c r="A13" t="s">
        <v>52</v>
      </c>
      <c r="B13" t="s">
        <v>53</v>
      </c>
      <c r="C13" t="s">
        <v>54</v>
      </c>
      <c r="D13" t="s">
        <v>55</v>
      </c>
      <c r="E13" t="s">
        <v>21</v>
      </c>
      <c r="F13" t="s">
        <v>22</v>
      </c>
      <c r="G13" t="s">
        <v>27</v>
      </c>
      <c r="H13" t="s">
        <v>27</v>
      </c>
      <c r="I13" t="s">
        <v>27</v>
      </c>
      <c r="J13" t="s">
        <v>27</v>
      </c>
      <c r="K13" t="s">
        <v>22</v>
      </c>
      <c r="L13" t="s">
        <v>27</v>
      </c>
      <c r="M13">
        <v>9766</v>
      </c>
      <c r="N13">
        <v>8049</v>
      </c>
      <c r="O13">
        <v>5556</v>
      </c>
      <c r="P13">
        <v>5202</v>
      </c>
      <c r="Q13">
        <v>2373</v>
      </c>
      <c r="R13" s="4">
        <f t="shared" si="1"/>
        <v>-0.29790601141591733</v>
      </c>
    </row>
    <row r="14" spans="1:18" x14ac:dyDescent="0.35">
      <c r="A14" t="s">
        <v>56</v>
      </c>
      <c r="B14" t="s">
        <v>57</v>
      </c>
      <c r="C14" t="s">
        <v>58</v>
      </c>
      <c r="D14" t="s">
        <v>59</v>
      </c>
      <c r="E14" t="s">
        <v>21</v>
      </c>
      <c r="F14" t="s">
        <v>22</v>
      </c>
      <c r="G14" t="s">
        <v>22</v>
      </c>
      <c r="H14" t="s">
        <v>27</v>
      </c>
      <c r="I14" t="s">
        <v>22</v>
      </c>
      <c r="J14" t="s">
        <v>27</v>
      </c>
      <c r="K14" t="s">
        <v>22</v>
      </c>
      <c r="L14" t="s">
        <v>27</v>
      </c>
      <c r="M14">
        <v>1530</v>
      </c>
      <c r="N14">
        <v>1620</v>
      </c>
      <c r="O14">
        <v>2027</v>
      </c>
      <c r="P14">
        <v>4881</v>
      </c>
      <c r="Q14">
        <v>6002</v>
      </c>
      <c r="R14" s="4">
        <f t="shared" si="1"/>
        <v>0.40734683274409145</v>
      </c>
    </row>
    <row r="15" spans="1:18" x14ac:dyDescent="0.35">
      <c r="A15" t="s">
        <v>60</v>
      </c>
      <c r="B15" t="s">
        <v>61</v>
      </c>
      <c r="C15" t="s">
        <v>62</v>
      </c>
      <c r="D15" t="s">
        <v>63</v>
      </c>
      <c r="E15" t="s">
        <v>21</v>
      </c>
      <c r="F15" t="s">
        <v>22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>
        <v>7555</v>
      </c>
      <c r="N15">
        <v>6551</v>
      </c>
      <c r="O15">
        <v>5188</v>
      </c>
      <c r="P15">
        <v>3436</v>
      </c>
      <c r="Q15">
        <v>2359</v>
      </c>
      <c r="R15" s="4">
        <f t="shared" si="1"/>
        <v>-0.25247905109930902</v>
      </c>
    </row>
    <row r="16" spans="1:18" x14ac:dyDescent="0.35">
      <c r="A16" t="s">
        <v>64</v>
      </c>
      <c r="B16" t="s">
        <v>65</v>
      </c>
      <c r="C16" t="s">
        <v>66</v>
      </c>
      <c r="D16" t="s">
        <v>67</v>
      </c>
      <c r="E16" t="s">
        <v>21</v>
      </c>
      <c r="F16" t="s">
        <v>22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>
        <v>1532</v>
      </c>
      <c r="N16">
        <v>2678</v>
      </c>
      <c r="O16">
        <v>4068</v>
      </c>
      <c r="P16">
        <v>4278</v>
      </c>
      <c r="Q16">
        <v>5382</v>
      </c>
      <c r="R16" s="4">
        <f t="shared" si="1"/>
        <v>0.3690560602470212</v>
      </c>
    </row>
    <row r="17" spans="1:18" x14ac:dyDescent="0.35">
      <c r="A17" t="s">
        <v>68</v>
      </c>
      <c r="B17" t="s">
        <v>69</v>
      </c>
      <c r="C17" t="s">
        <v>70</v>
      </c>
      <c r="D17" t="s">
        <v>71</v>
      </c>
      <c r="E17" t="s">
        <v>21</v>
      </c>
      <c r="F17" t="s">
        <v>22</v>
      </c>
      <c r="I17" t="s">
        <v>22</v>
      </c>
      <c r="L17" t="s">
        <v>22</v>
      </c>
      <c r="M17">
        <v>24</v>
      </c>
      <c r="N17">
        <v>1797</v>
      </c>
      <c r="O17">
        <v>3548</v>
      </c>
      <c r="P17">
        <v>3668</v>
      </c>
      <c r="Q17">
        <v>8592</v>
      </c>
      <c r="R17" s="4">
        <f t="shared" si="1"/>
        <v>3.3498147004699526</v>
      </c>
    </row>
    <row r="18" spans="1:18" x14ac:dyDescent="0.35">
      <c r="A18" t="s">
        <v>72</v>
      </c>
      <c r="B18" t="s">
        <v>73</v>
      </c>
      <c r="C18" t="s">
        <v>74</v>
      </c>
      <c r="D18" t="s">
        <v>75</v>
      </c>
      <c r="E18" t="s">
        <v>21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>
        <v>861</v>
      </c>
      <c r="N18">
        <v>1314</v>
      </c>
      <c r="O18">
        <v>1810</v>
      </c>
      <c r="P18">
        <v>6510</v>
      </c>
      <c r="Q18">
        <v>9271</v>
      </c>
      <c r="R18" s="4">
        <f t="shared" si="1"/>
        <v>0.81146879617010592</v>
      </c>
    </row>
    <row r="19" spans="1:18" x14ac:dyDescent="0.35">
      <c r="A19" t="s">
        <v>76</v>
      </c>
      <c r="B19" t="s">
        <v>77</v>
      </c>
      <c r="C19" t="s">
        <v>78</v>
      </c>
      <c r="D19" t="s">
        <v>79</v>
      </c>
      <c r="E19" t="s">
        <v>21</v>
      </c>
      <c r="F19" t="s">
        <v>22</v>
      </c>
      <c r="G19" t="s">
        <v>22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>
        <v>9058</v>
      </c>
      <c r="N19">
        <v>4839</v>
      </c>
      <c r="O19">
        <v>4776</v>
      </c>
      <c r="P19">
        <v>4024</v>
      </c>
      <c r="Q19">
        <v>369</v>
      </c>
      <c r="R19" s="4">
        <f t="shared" si="1"/>
        <v>-0.55073921414194782</v>
      </c>
    </row>
    <row r="20" spans="1:18" x14ac:dyDescent="0.35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22</v>
      </c>
      <c r="G20" t="s">
        <v>22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>
        <v>3501</v>
      </c>
      <c r="N20">
        <v>7079</v>
      </c>
      <c r="O20">
        <v>7438</v>
      </c>
      <c r="P20">
        <v>7443</v>
      </c>
      <c r="Q20">
        <v>9225</v>
      </c>
      <c r="R20" s="4">
        <f t="shared" si="1"/>
        <v>0.27407081068210992</v>
      </c>
    </row>
    <row r="21" spans="1:18" x14ac:dyDescent="0.35">
      <c r="A21" t="s">
        <v>85</v>
      </c>
      <c r="B21" t="s">
        <v>86</v>
      </c>
      <c r="C21" t="s">
        <v>87</v>
      </c>
      <c r="D21" t="s">
        <v>88</v>
      </c>
      <c r="E21" t="s">
        <v>84</v>
      </c>
      <c r="F21" t="s">
        <v>22</v>
      </c>
      <c r="G21" t="s">
        <v>22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>
        <v>3916</v>
      </c>
      <c r="N21">
        <v>4218</v>
      </c>
      <c r="O21">
        <v>5072</v>
      </c>
      <c r="P21">
        <v>5201</v>
      </c>
      <c r="Q21">
        <v>7588</v>
      </c>
      <c r="R21" s="4">
        <f t="shared" si="1"/>
        <v>0.17983468576187267</v>
      </c>
    </row>
    <row r="22" spans="1:18" x14ac:dyDescent="0.35">
      <c r="A22" t="s">
        <v>89</v>
      </c>
      <c r="B22" t="s">
        <v>90</v>
      </c>
      <c r="C22" t="s">
        <v>91</v>
      </c>
      <c r="D22" t="s">
        <v>92</v>
      </c>
      <c r="E22" t="s">
        <v>84</v>
      </c>
      <c r="F22" t="s">
        <v>22</v>
      </c>
      <c r="G22" t="s">
        <v>22</v>
      </c>
      <c r="H22" t="s">
        <v>27</v>
      </c>
      <c r="I22" t="s">
        <v>22</v>
      </c>
      <c r="J22" t="s">
        <v>27</v>
      </c>
      <c r="K22" t="s">
        <v>22</v>
      </c>
      <c r="L22" t="s">
        <v>27</v>
      </c>
      <c r="M22">
        <v>700</v>
      </c>
      <c r="N22">
        <v>5721</v>
      </c>
      <c r="O22">
        <v>6247</v>
      </c>
      <c r="P22">
        <v>8495</v>
      </c>
      <c r="Q22">
        <v>9236</v>
      </c>
      <c r="R22" s="4">
        <f t="shared" si="1"/>
        <v>0.90588403033885334</v>
      </c>
    </row>
    <row r="23" spans="1:18" x14ac:dyDescent="0.35">
      <c r="A23" t="s">
        <v>93</v>
      </c>
      <c r="B23" t="s">
        <v>94</v>
      </c>
      <c r="C23" t="s">
        <v>95</v>
      </c>
      <c r="D23" t="s">
        <v>96</v>
      </c>
      <c r="E23" t="s">
        <v>84</v>
      </c>
      <c r="F23" t="s">
        <v>22</v>
      </c>
      <c r="G23" t="s">
        <v>22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>
        <v>9773</v>
      </c>
      <c r="N23">
        <v>9179</v>
      </c>
      <c r="O23">
        <v>8390</v>
      </c>
      <c r="P23">
        <v>8256</v>
      </c>
      <c r="Q23">
        <v>3815</v>
      </c>
      <c r="R23" s="4">
        <f t="shared" si="1"/>
        <v>-0.20956409258224717</v>
      </c>
    </row>
    <row r="24" spans="1:18" x14ac:dyDescent="0.35">
      <c r="A24" t="s">
        <v>97</v>
      </c>
      <c r="B24" t="s">
        <v>98</v>
      </c>
      <c r="C24" t="s">
        <v>99</v>
      </c>
      <c r="D24" t="s">
        <v>100</v>
      </c>
      <c r="E24" t="s">
        <v>84</v>
      </c>
      <c r="F24" t="s">
        <v>22</v>
      </c>
      <c r="G24" t="s">
        <v>22</v>
      </c>
      <c r="H24" t="s">
        <v>27</v>
      </c>
      <c r="I24" t="s">
        <v>22</v>
      </c>
      <c r="J24" t="s">
        <v>27</v>
      </c>
      <c r="K24" t="s">
        <v>22</v>
      </c>
      <c r="L24" t="s">
        <v>27</v>
      </c>
      <c r="M24">
        <v>73</v>
      </c>
      <c r="N24">
        <v>3485</v>
      </c>
      <c r="O24">
        <v>4592</v>
      </c>
      <c r="P24">
        <v>5143</v>
      </c>
      <c r="Q24">
        <v>8100</v>
      </c>
      <c r="R24" s="4">
        <f t="shared" si="1"/>
        <v>2.2455667067018901</v>
      </c>
    </row>
    <row r="25" spans="1:18" x14ac:dyDescent="0.35">
      <c r="A25" t="s">
        <v>101</v>
      </c>
      <c r="B25" t="s">
        <v>102</v>
      </c>
      <c r="C25" t="s">
        <v>103</v>
      </c>
      <c r="D25" t="s">
        <v>104</v>
      </c>
      <c r="E25" t="s">
        <v>84</v>
      </c>
      <c r="F25" t="s">
        <v>22</v>
      </c>
      <c r="G25" t="s">
        <v>22</v>
      </c>
      <c r="H25" t="s">
        <v>27</v>
      </c>
      <c r="I25" t="s">
        <v>22</v>
      </c>
      <c r="J25" t="s">
        <v>27</v>
      </c>
      <c r="K25" t="s">
        <v>22</v>
      </c>
      <c r="L25" t="s">
        <v>27</v>
      </c>
      <c r="M25">
        <v>238</v>
      </c>
      <c r="N25">
        <v>1235</v>
      </c>
      <c r="O25">
        <v>1822</v>
      </c>
      <c r="P25">
        <v>7074</v>
      </c>
      <c r="Q25">
        <v>8207</v>
      </c>
      <c r="R25" s="4">
        <f t="shared" si="1"/>
        <v>1.4232703532020747</v>
      </c>
    </row>
    <row r="26" spans="1:18" x14ac:dyDescent="0.35">
      <c r="A26" t="s">
        <v>105</v>
      </c>
      <c r="B26" t="s">
        <v>106</v>
      </c>
      <c r="C26" t="s">
        <v>107</v>
      </c>
      <c r="D26" t="s">
        <v>108</v>
      </c>
      <c r="E26" t="s">
        <v>84</v>
      </c>
      <c r="F26" t="s">
        <v>22</v>
      </c>
      <c r="G26" t="s">
        <v>22</v>
      </c>
      <c r="H26" t="s">
        <v>27</v>
      </c>
      <c r="I26" t="s">
        <v>22</v>
      </c>
      <c r="J26" t="s">
        <v>27</v>
      </c>
      <c r="K26" t="s">
        <v>22</v>
      </c>
      <c r="L26" t="s">
        <v>27</v>
      </c>
      <c r="M26">
        <v>1368</v>
      </c>
      <c r="N26">
        <v>3447</v>
      </c>
      <c r="O26">
        <v>4535</v>
      </c>
      <c r="P26">
        <v>5476</v>
      </c>
      <c r="Q26">
        <v>9983</v>
      </c>
      <c r="R26" s="4">
        <f t="shared" si="1"/>
        <v>0.64359095818904954</v>
      </c>
    </row>
    <row r="27" spans="1:18" x14ac:dyDescent="0.35">
      <c r="A27" t="s">
        <v>109</v>
      </c>
      <c r="B27" t="s">
        <v>110</v>
      </c>
      <c r="C27" t="s">
        <v>111</v>
      </c>
      <c r="D27" t="s">
        <v>112</v>
      </c>
      <c r="E27" t="s">
        <v>84</v>
      </c>
      <c r="F27" t="s">
        <v>22</v>
      </c>
      <c r="G27" t="s">
        <v>27</v>
      </c>
      <c r="H27" t="s">
        <v>27</v>
      </c>
      <c r="I27" t="s">
        <v>27</v>
      </c>
      <c r="J27" t="s">
        <v>22</v>
      </c>
      <c r="K27" t="s">
        <v>27</v>
      </c>
      <c r="L27" t="s">
        <v>27</v>
      </c>
      <c r="M27">
        <v>8331</v>
      </c>
      <c r="N27">
        <v>7667</v>
      </c>
      <c r="O27">
        <v>5952</v>
      </c>
      <c r="P27">
        <v>1998</v>
      </c>
      <c r="Q27">
        <v>375</v>
      </c>
      <c r="R27" s="4">
        <f t="shared" si="1"/>
        <v>-0.53938981874158332</v>
      </c>
    </row>
    <row r="28" spans="1:18" x14ac:dyDescent="0.35">
      <c r="A28" t="s">
        <v>113</v>
      </c>
      <c r="B28" t="s">
        <v>114</v>
      </c>
      <c r="C28" t="s">
        <v>115</v>
      </c>
      <c r="D28" t="s">
        <v>116</v>
      </c>
      <c r="E28" t="s">
        <v>84</v>
      </c>
      <c r="F28" t="s">
        <v>22</v>
      </c>
      <c r="G28" t="s">
        <v>22</v>
      </c>
      <c r="H28" t="s">
        <v>27</v>
      </c>
      <c r="I28" t="s">
        <v>22</v>
      </c>
      <c r="J28" t="s">
        <v>22</v>
      </c>
      <c r="K28" t="s">
        <v>22</v>
      </c>
      <c r="L28" t="s">
        <v>27</v>
      </c>
      <c r="M28">
        <v>1779</v>
      </c>
      <c r="N28">
        <v>2124</v>
      </c>
      <c r="O28">
        <v>2844</v>
      </c>
      <c r="P28">
        <v>6877</v>
      </c>
      <c r="Q28">
        <v>9570</v>
      </c>
      <c r="R28" s="4">
        <f t="shared" si="1"/>
        <v>0.52294422157633269</v>
      </c>
    </row>
    <row r="29" spans="1:18" x14ac:dyDescent="0.35">
      <c r="A29" t="s">
        <v>117</v>
      </c>
      <c r="B29" t="s">
        <v>118</v>
      </c>
      <c r="C29" t="s">
        <v>119</v>
      </c>
      <c r="D29" t="s">
        <v>120</v>
      </c>
      <c r="E29" t="s">
        <v>84</v>
      </c>
      <c r="F29" t="s">
        <v>22</v>
      </c>
      <c r="G29" t="s">
        <v>22</v>
      </c>
      <c r="H29" t="s">
        <v>27</v>
      </c>
      <c r="I29" t="s">
        <v>22</v>
      </c>
      <c r="J29" t="s">
        <v>22</v>
      </c>
      <c r="K29" t="s">
        <v>22</v>
      </c>
      <c r="L29" t="s">
        <v>27</v>
      </c>
      <c r="M29">
        <v>570</v>
      </c>
      <c r="N29">
        <v>1322</v>
      </c>
      <c r="O29">
        <v>7279</v>
      </c>
      <c r="P29">
        <v>8443</v>
      </c>
      <c r="Q29">
        <v>9571</v>
      </c>
      <c r="R29" s="4">
        <f t="shared" si="1"/>
        <v>1.0242801438529217</v>
      </c>
    </row>
    <row r="30" spans="1:18" x14ac:dyDescent="0.35">
      <c r="A30" t="s">
        <v>121</v>
      </c>
      <c r="B30" t="s">
        <v>122</v>
      </c>
      <c r="C30" t="s">
        <v>123</v>
      </c>
      <c r="D30" t="s">
        <v>124</v>
      </c>
      <c r="E30" t="s">
        <v>84</v>
      </c>
      <c r="F30" t="s">
        <v>22</v>
      </c>
      <c r="G30" t="s">
        <v>27</v>
      </c>
      <c r="H30" t="s">
        <v>27</v>
      </c>
      <c r="I30" t="s">
        <v>27</v>
      </c>
      <c r="J30" t="s">
        <v>22</v>
      </c>
      <c r="K30" t="s">
        <v>27</v>
      </c>
      <c r="L30" t="s">
        <v>27</v>
      </c>
      <c r="M30">
        <v>6156</v>
      </c>
      <c r="N30">
        <v>6110</v>
      </c>
      <c r="O30">
        <v>5791</v>
      </c>
      <c r="P30">
        <v>1759</v>
      </c>
      <c r="Q30">
        <v>969</v>
      </c>
      <c r="R30" s="4">
        <f t="shared" si="1"/>
        <v>-0.37012221518144006</v>
      </c>
    </row>
    <row r="31" spans="1:18" x14ac:dyDescent="0.35">
      <c r="A31" t="s">
        <v>125</v>
      </c>
      <c r="B31" t="s">
        <v>126</v>
      </c>
      <c r="C31" t="s">
        <v>127</v>
      </c>
      <c r="D31" t="s">
        <v>128</v>
      </c>
      <c r="E31" t="s">
        <v>84</v>
      </c>
      <c r="F31" t="s">
        <v>22</v>
      </c>
      <c r="G31" t="s">
        <v>22</v>
      </c>
      <c r="H31" t="s">
        <v>27</v>
      </c>
      <c r="I31" t="s">
        <v>22</v>
      </c>
      <c r="J31" t="s">
        <v>22</v>
      </c>
      <c r="K31" t="s">
        <v>22</v>
      </c>
      <c r="L31" t="s">
        <v>27</v>
      </c>
      <c r="M31">
        <v>209</v>
      </c>
      <c r="N31">
        <v>621</v>
      </c>
      <c r="O31">
        <v>3098</v>
      </c>
      <c r="P31">
        <v>7118</v>
      </c>
      <c r="Q31">
        <v>8433</v>
      </c>
      <c r="R31" s="4">
        <f t="shared" si="1"/>
        <v>1.5203389637502625</v>
      </c>
    </row>
    <row r="32" spans="1:18" x14ac:dyDescent="0.35">
      <c r="A32" t="s">
        <v>129</v>
      </c>
      <c r="B32" t="s">
        <v>130</v>
      </c>
      <c r="C32" t="s">
        <v>131</v>
      </c>
      <c r="D32" t="s">
        <v>132</v>
      </c>
      <c r="E32" t="s">
        <v>84</v>
      </c>
      <c r="F32" t="s">
        <v>22</v>
      </c>
      <c r="G32" t="s">
        <v>22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>
        <v>6309</v>
      </c>
      <c r="N32">
        <v>6227</v>
      </c>
      <c r="O32">
        <v>5123</v>
      </c>
      <c r="P32">
        <v>4968</v>
      </c>
      <c r="Q32">
        <v>3857</v>
      </c>
      <c r="R32" s="4">
        <f t="shared" si="1"/>
        <v>-0.11575568185753915</v>
      </c>
    </row>
    <row r="33" spans="1:18" x14ac:dyDescent="0.35">
      <c r="A33" t="s">
        <v>133</v>
      </c>
      <c r="B33" t="s">
        <v>134</v>
      </c>
      <c r="C33" t="s">
        <v>135</v>
      </c>
      <c r="D33" t="s">
        <v>136</v>
      </c>
      <c r="E33" t="s">
        <v>84</v>
      </c>
      <c r="F33" t="s">
        <v>22</v>
      </c>
      <c r="G33" t="s">
        <v>22</v>
      </c>
      <c r="H33" t="s">
        <v>27</v>
      </c>
      <c r="I33" t="s">
        <v>22</v>
      </c>
      <c r="J33" t="s">
        <v>27</v>
      </c>
      <c r="K33" t="s">
        <v>22</v>
      </c>
      <c r="L33" t="s">
        <v>27</v>
      </c>
      <c r="M33">
        <v>712</v>
      </c>
      <c r="N33">
        <v>4182</v>
      </c>
      <c r="O33">
        <v>6087</v>
      </c>
      <c r="P33">
        <v>7494</v>
      </c>
      <c r="Q33">
        <v>8599</v>
      </c>
      <c r="R33" s="4">
        <f t="shared" si="1"/>
        <v>0.86419779018759768</v>
      </c>
    </row>
    <row r="34" spans="1:18" x14ac:dyDescent="0.35">
      <c r="A34" t="s">
        <v>137</v>
      </c>
      <c r="B34" t="s">
        <v>138</v>
      </c>
      <c r="C34" t="s">
        <v>139</v>
      </c>
      <c r="D34" t="s">
        <v>140</v>
      </c>
      <c r="E34" t="s">
        <v>84</v>
      </c>
      <c r="F34" t="s">
        <v>22</v>
      </c>
      <c r="G34" t="s">
        <v>22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>
        <v>2390</v>
      </c>
      <c r="N34">
        <v>2415</v>
      </c>
      <c r="O34">
        <v>3461</v>
      </c>
      <c r="P34">
        <v>3850</v>
      </c>
      <c r="Q34">
        <v>4657</v>
      </c>
      <c r="R34" s="4">
        <f t="shared" si="1"/>
        <v>0.18148193130433588</v>
      </c>
    </row>
    <row r="35" spans="1:18" x14ac:dyDescent="0.35">
      <c r="A35" t="s">
        <v>141</v>
      </c>
      <c r="B35" t="s">
        <v>142</v>
      </c>
      <c r="C35" t="s">
        <v>143</v>
      </c>
      <c r="D35" t="s">
        <v>144</v>
      </c>
      <c r="E35" t="s">
        <v>145</v>
      </c>
      <c r="F35" t="s">
        <v>22</v>
      </c>
      <c r="G35" t="s">
        <v>22</v>
      </c>
      <c r="H35" t="s">
        <v>22</v>
      </c>
      <c r="I35" t="s">
        <v>27</v>
      </c>
      <c r="J35" t="s">
        <v>27</v>
      </c>
      <c r="K35" t="s">
        <v>22</v>
      </c>
      <c r="L35" t="s">
        <v>27</v>
      </c>
      <c r="M35">
        <v>2519</v>
      </c>
      <c r="N35">
        <v>3938</v>
      </c>
      <c r="O35">
        <v>5190</v>
      </c>
      <c r="P35">
        <v>8203</v>
      </c>
      <c r="Q35">
        <v>8780</v>
      </c>
      <c r="R35" s="4">
        <f t="shared" si="1"/>
        <v>0.36636455401735013</v>
      </c>
    </row>
    <row r="36" spans="1:18" x14ac:dyDescent="0.35">
      <c r="A36" t="s">
        <v>146</v>
      </c>
      <c r="B36" t="s">
        <v>147</v>
      </c>
      <c r="C36" t="s">
        <v>148</v>
      </c>
      <c r="D36" t="s">
        <v>149</v>
      </c>
      <c r="E36" t="s">
        <v>145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27</v>
      </c>
      <c r="M36">
        <v>138</v>
      </c>
      <c r="N36">
        <v>286</v>
      </c>
      <c r="O36">
        <v>6750</v>
      </c>
      <c r="P36">
        <v>8254</v>
      </c>
      <c r="Q36">
        <v>8656</v>
      </c>
      <c r="R36" s="4">
        <f t="shared" si="1"/>
        <v>1.8142296888697582</v>
      </c>
    </row>
    <row r="37" spans="1:18" x14ac:dyDescent="0.35">
      <c r="A37" t="s">
        <v>150</v>
      </c>
      <c r="B37" t="s">
        <v>151</v>
      </c>
      <c r="C37" t="s">
        <v>152</v>
      </c>
      <c r="D37" t="s">
        <v>153</v>
      </c>
      <c r="E37" t="s">
        <v>145</v>
      </c>
      <c r="F37" t="s">
        <v>22</v>
      </c>
      <c r="G37" t="s">
        <v>22</v>
      </c>
      <c r="H37" t="s">
        <v>22</v>
      </c>
      <c r="I37" t="s">
        <v>27</v>
      </c>
      <c r="J37" t="s">
        <v>27</v>
      </c>
      <c r="K37" t="s">
        <v>22</v>
      </c>
      <c r="L37" t="s">
        <v>22</v>
      </c>
      <c r="M37">
        <v>8873</v>
      </c>
      <c r="N37">
        <v>8484</v>
      </c>
      <c r="O37">
        <v>7883</v>
      </c>
      <c r="P37">
        <v>7499</v>
      </c>
      <c r="Q37">
        <v>6592</v>
      </c>
      <c r="R37" s="4">
        <f t="shared" si="1"/>
        <v>-7.1596691853915484E-2</v>
      </c>
    </row>
    <row r="38" spans="1:18" x14ac:dyDescent="0.35">
      <c r="A38" t="s">
        <v>154</v>
      </c>
      <c r="B38" t="s">
        <v>155</v>
      </c>
      <c r="C38" t="s">
        <v>156</v>
      </c>
      <c r="D38" t="s">
        <v>157</v>
      </c>
      <c r="E38" t="s">
        <v>145</v>
      </c>
      <c r="F38" t="s">
        <v>22</v>
      </c>
      <c r="G38" t="s">
        <v>22</v>
      </c>
      <c r="H38" t="s">
        <v>22</v>
      </c>
      <c r="I38" t="s">
        <v>27</v>
      </c>
      <c r="J38" t="s">
        <v>27</v>
      </c>
      <c r="K38" t="s">
        <v>22</v>
      </c>
      <c r="L38" t="s">
        <v>22</v>
      </c>
      <c r="M38">
        <v>3297</v>
      </c>
      <c r="N38">
        <v>4866</v>
      </c>
      <c r="O38">
        <v>4928</v>
      </c>
      <c r="P38">
        <v>8451</v>
      </c>
      <c r="Q38">
        <v>9585</v>
      </c>
      <c r="R38" s="4">
        <f t="shared" si="1"/>
        <v>0.30577482876902251</v>
      </c>
    </row>
    <row r="39" spans="1:18" x14ac:dyDescent="0.35">
      <c r="A39" t="s">
        <v>158</v>
      </c>
      <c r="B39" t="s">
        <v>159</v>
      </c>
      <c r="C39" t="s">
        <v>160</v>
      </c>
      <c r="D39" t="s">
        <v>161</v>
      </c>
      <c r="E39" t="s">
        <v>145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>
        <v>1092</v>
      </c>
      <c r="N39">
        <v>3140</v>
      </c>
      <c r="O39">
        <v>4123</v>
      </c>
      <c r="P39">
        <v>4366</v>
      </c>
      <c r="Q39">
        <v>9482</v>
      </c>
      <c r="R39" s="4">
        <f t="shared" si="1"/>
        <v>0.71660086943635504</v>
      </c>
    </row>
    <row r="40" spans="1:18" x14ac:dyDescent="0.35">
      <c r="A40" t="s">
        <v>162</v>
      </c>
      <c r="B40" t="s">
        <v>163</v>
      </c>
      <c r="C40" t="s">
        <v>164</v>
      </c>
      <c r="D40" t="s">
        <v>165</v>
      </c>
      <c r="E40" t="s">
        <v>145</v>
      </c>
      <c r="F40" t="s">
        <v>22</v>
      </c>
      <c r="G40" t="s">
        <v>22</v>
      </c>
      <c r="H40" t="s">
        <v>22</v>
      </c>
      <c r="I40" t="s">
        <v>27</v>
      </c>
      <c r="J40" t="s">
        <v>27</v>
      </c>
      <c r="K40" t="s">
        <v>22</v>
      </c>
      <c r="L40" t="s">
        <v>22</v>
      </c>
      <c r="M40">
        <v>2541</v>
      </c>
      <c r="N40">
        <v>3794</v>
      </c>
      <c r="O40">
        <v>3984</v>
      </c>
      <c r="P40">
        <v>8803</v>
      </c>
      <c r="Q40">
        <v>9338</v>
      </c>
      <c r="R40" s="4">
        <f t="shared" si="1"/>
        <v>0.38456165928272146</v>
      </c>
    </row>
    <row r="41" spans="1:18" x14ac:dyDescent="0.35">
      <c r="A41" t="s">
        <v>166</v>
      </c>
      <c r="B41" t="s">
        <v>167</v>
      </c>
      <c r="C41" t="s">
        <v>168</v>
      </c>
      <c r="D41" t="s">
        <v>169</v>
      </c>
      <c r="E41" t="s">
        <v>145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>
        <v>742</v>
      </c>
      <c r="N41">
        <v>3751</v>
      </c>
      <c r="O41">
        <v>4423</v>
      </c>
      <c r="P41">
        <v>8733</v>
      </c>
      <c r="Q41">
        <v>9909</v>
      </c>
      <c r="R41" s="4">
        <f t="shared" si="1"/>
        <v>0.91164163510334228</v>
      </c>
    </row>
    <row r="42" spans="1:18" x14ac:dyDescent="0.35">
      <c r="A42" t="s">
        <v>170</v>
      </c>
      <c r="B42" t="s">
        <v>171</v>
      </c>
      <c r="C42" t="s">
        <v>172</v>
      </c>
      <c r="D42" t="s">
        <v>173</v>
      </c>
      <c r="E42" t="s">
        <v>145</v>
      </c>
      <c r="F42" t="s">
        <v>22</v>
      </c>
      <c r="G42" t="s">
        <v>27</v>
      </c>
      <c r="H42" t="s">
        <v>27</v>
      </c>
      <c r="I42" t="s">
        <v>27</v>
      </c>
      <c r="J42" t="s">
        <v>27</v>
      </c>
      <c r="K42" t="s">
        <v>22</v>
      </c>
      <c r="L42" t="s">
        <v>22</v>
      </c>
      <c r="M42">
        <v>7703</v>
      </c>
      <c r="N42">
        <v>6957</v>
      </c>
      <c r="O42">
        <v>3898</v>
      </c>
      <c r="P42">
        <v>1857</v>
      </c>
      <c r="Q42">
        <v>1512</v>
      </c>
      <c r="R42" s="4">
        <f t="shared" si="1"/>
        <v>-0.33438519484677687</v>
      </c>
    </row>
    <row r="43" spans="1:18" x14ac:dyDescent="0.35">
      <c r="A43" t="s">
        <v>174</v>
      </c>
      <c r="B43" t="s">
        <v>175</v>
      </c>
      <c r="C43" t="s">
        <v>176</v>
      </c>
      <c r="D43" t="s">
        <v>177</v>
      </c>
      <c r="E43" t="s">
        <v>145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>
        <v>488</v>
      </c>
      <c r="N43">
        <v>5535</v>
      </c>
      <c r="O43">
        <v>5775</v>
      </c>
      <c r="P43">
        <v>7661</v>
      </c>
      <c r="Q43">
        <v>9206</v>
      </c>
      <c r="R43" s="4">
        <f t="shared" si="1"/>
        <v>1.084072328017021</v>
      </c>
    </row>
    <row r="44" spans="1:18" x14ac:dyDescent="0.35">
      <c r="A44" t="s">
        <v>178</v>
      </c>
      <c r="B44" t="s">
        <v>179</v>
      </c>
      <c r="C44" t="s">
        <v>180</v>
      </c>
      <c r="D44" t="s">
        <v>181</v>
      </c>
      <c r="E44" t="s">
        <v>145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>
        <v>376</v>
      </c>
      <c r="N44">
        <v>889</v>
      </c>
      <c r="O44">
        <v>4373</v>
      </c>
      <c r="P44">
        <v>6803</v>
      </c>
      <c r="Q44">
        <v>7578</v>
      </c>
      <c r="R44" s="4">
        <f t="shared" si="1"/>
        <v>1.1188084145320056</v>
      </c>
    </row>
    <row r="45" spans="1:18" x14ac:dyDescent="0.35">
      <c r="A45" t="s">
        <v>182</v>
      </c>
      <c r="B45" t="s">
        <v>183</v>
      </c>
      <c r="C45" t="s">
        <v>184</v>
      </c>
      <c r="D45" t="s">
        <v>185</v>
      </c>
      <c r="E45" t="s">
        <v>145</v>
      </c>
      <c r="F45" t="s">
        <v>22</v>
      </c>
      <c r="G45" t="s">
        <v>27</v>
      </c>
      <c r="H45" t="s">
        <v>27</v>
      </c>
      <c r="I45" t="s">
        <v>27</v>
      </c>
      <c r="J45" t="s">
        <v>27</v>
      </c>
      <c r="K45" t="s">
        <v>22</v>
      </c>
      <c r="L45" t="s">
        <v>22</v>
      </c>
      <c r="M45">
        <v>7840</v>
      </c>
      <c r="N45">
        <v>5804</v>
      </c>
      <c r="O45">
        <v>4259</v>
      </c>
      <c r="P45">
        <v>4243</v>
      </c>
      <c r="Q45">
        <v>907</v>
      </c>
      <c r="R45" s="4">
        <f t="shared" si="1"/>
        <v>-0.41679289513417705</v>
      </c>
    </row>
    <row r="46" spans="1:18" x14ac:dyDescent="0.35">
      <c r="A46" t="s">
        <v>186</v>
      </c>
      <c r="B46" t="s">
        <v>187</v>
      </c>
      <c r="C46" t="s">
        <v>188</v>
      </c>
      <c r="D46" t="s">
        <v>189</v>
      </c>
      <c r="E46" t="s">
        <v>145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>
        <v>1038</v>
      </c>
      <c r="N46">
        <v>3615</v>
      </c>
      <c r="O46">
        <v>3712</v>
      </c>
      <c r="P46">
        <v>5819</v>
      </c>
      <c r="Q46">
        <v>9589</v>
      </c>
      <c r="R46" s="4">
        <f t="shared" si="1"/>
        <v>0.74338775485751718</v>
      </c>
    </row>
    <row r="47" spans="1:18" x14ac:dyDescent="0.35">
      <c r="A47" t="s">
        <v>190</v>
      </c>
      <c r="B47" t="s">
        <v>191</v>
      </c>
      <c r="C47" t="s">
        <v>192</v>
      </c>
      <c r="D47" t="s">
        <v>193</v>
      </c>
      <c r="E47" t="s">
        <v>145</v>
      </c>
      <c r="F47" t="s">
        <v>22</v>
      </c>
      <c r="G47" t="s">
        <v>22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>
        <v>8891</v>
      </c>
      <c r="N47">
        <v>5952</v>
      </c>
      <c r="O47">
        <v>5914</v>
      </c>
      <c r="P47">
        <v>5405</v>
      </c>
      <c r="Q47">
        <v>4031</v>
      </c>
      <c r="R47" s="4">
        <f t="shared" si="1"/>
        <v>-0.17943016656995925</v>
      </c>
    </row>
    <row r="48" spans="1:18" x14ac:dyDescent="0.35">
      <c r="A48" t="s">
        <v>194</v>
      </c>
      <c r="B48" t="s">
        <v>195</v>
      </c>
      <c r="C48" t="s">
        <v>196</v>
      </c>
      <c r="D48" t="s">
        <v>197</v>
      </c>
      <c r="E48" t="s">
        <v>145</v>
      </c>
      <c r="F48" t="s">
        <v>22</v>
      </c>
      <c r="G48" t="s">
        <v>22</v>
      </c>
      <c r="H48" t="s">
        <v>22</v>
      </c>
      <c r="I48" t="s">
        <v>22</v>
      </c>
      <c r="J48" t="s">
        <v>27</v>
      </c>
      <c r="K48" t="s">
        <v>27</v>
      </c>
      <c r="L48" t="s">
        <v>27</v>
      </c>
      <c r="M48">
        <v>1290</v>
      </c>
      <c r="N48">
        <v>4033</v>
      </c>
      <c r="O48">
        <v>6956</v>
      </c>
      <c r="P48">
        <v>7929</v>
      </c>
      <c r="Q48">
        <v>8834</v>
      </c>
      <c r="R48" s="4">
        <f t="shared" si="1"/>
        <v>0.61767741115573149</v>
      </c>
    </row>
    <row r="49" spans="1:18" x14ac:dyDescent="0.35">
      <c r="A49" t="s">
        <v>198</v>
      </c>
      <c r="B49" t="s">
        <v>199</v>
      </c>
      <c r="C49" t="s">
        <v>200</v>
      </c>
      <c r="D49" t="s">
        <v>201</v>
      </c>
      <c r="E49" t="s">
        <v>145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27</v>
      </c>
      <c r="L49" t="s">
        <v>27</v>
      </c>
      <c r="M49">
        <v>431</v>
      </c>
      <c r="N49">
        <v>6231</v>
      </c>
      <c r="O49">
        <v>7478</v>
      </c>
      <c r="P49">
        <v>8039</v>
      </c>
      <c r="Q49">
        <v>8271</v>
      </c>
      <c r="R49" s="4">
        <f t="shared" si="1"/>
        <v>1.0930046233022455</v>
      </c>
    </row>
    <row r="50" spans="1:18" x14ac:dyDescent="0.35">
      <c r="A50" t="s">
        <v>202</v>
      </c>
      <c r="B50" t="s">
        <v>203</v>
      </c>
      <c r="C50" t="s">
        <v>204</v>
      </c>
      <c r="D50" t="s">
        <v>205</v>
      </c>
      <c r="E50" t="s">
        <v>206</v>
      </c>
      <c r="F50" t="s">
        <v>22</v>
      </c>
      <c r="G50" t="s">
        <v>27</v>
      </c>
      <c r="H50" t="s">
        <v>27</v>
      </c>
      <c r="I50" t="s">
        <v>27</v>
      </c>
      <c r="J50" t="s">
        <v>27</v>
      </c>
      <c r="K50" t="s">
        <v>22</v>
      </c>
      <c r="L50" t="s">
        <v>27</v>
      </c>
      <c r="M50">
        <v>8156</v>
      </c>
      <c r="N50">
        <v>1245</v>
      </c>
      <c r="O50">
        <v>791</v>
      </c>
      <c r="P50">
        <v>338</v>
      </c>
      <c r="Q50">
        <v>44</v>
      </c>
      <c r="R50" s="4">
        <f t="shared" si="1"/>
        <v>-0.72898466539472961</v>
      </c>
    </row>
    <row r="51" spans="1:18" x14ac:dyDescent="0.35">
      <c r="A51" t="s">
        <v>207</v>
      </c>
      <c r="B51" t="s">
        <v>208</v>
      </c>
      <c r="C51" t="s">
        <v>209</v>
      </c>
      <c r="D51" t="s">
        <v>210</v>
      </c>
      <c r="E51" t="s">
        <v>206</v>
      </c>
      <c r="F51" t="s">
        <v>22</v>
      </c>
      <c r="G51" t="s">
        <v>22</v>
      </c>
      <c r="H51" t="s">
        <v>22</v>
      </c>
      <c r="I51" t="s">
        <v>27</v>
      </c>
      <c r="J51" t="s">
        <v>27</v>
      </c>
      <c r="K51" t="s">
        <v>22</v>
      </c>
      <c r="L51" t="s">
        <v>27</v>
      </c>
      <c r="M51">
        <v>299</v>
      </c>
      <c r="N51">
        <v>657</v>
      </c>
      <c r="O51">
        <v>6238</v>
      </c>
      <c r="P51">
        <v>8922</v>
      </c>
      <c r="Q51">
        <v>9081</v>
      </c>
      <c r="R51" s="4">
        <f t="shared" si="1"/>
        <v>1.3475541667800686</v>
      </c>
    </row>
    <row r="52" spans="1:18" x14ac:dyDescent="0.35">
      <c r="A52" t="s">
        <v>211</v>
      </c>
      <c r="B52" t="s">
        <v>212</v>
      </c>
      <c r="C52" t="s">
        <v>213</v>
      </c>
      <c r="D52" t="s">
        <v>214</v>
      </c>
      <c r="E52" t="s">
        <v>206</v>
      </c>
      <c r="F52" t="s">
        <v>22</v>
      </c>
      <c r="G52" t="s">
        <v>22</v>
      </c>
      <c r="H52" t="s">
        <v>22</v>
      </c>
      <c r="I52" t="s">
        <v>27</v>
      </c>
      <c r="J52" t="s">
        <v>27</v>
      </c>
      <c r="K52" t="s">
        <v>22</v>
      </c>
      <c r="L52" t="s">
        <v>27</v>
      </c>
      <c r="M52">
        <v>1323</v>
      </c>
      <c r="N52">
        <v>4963</v>
      </c>
      <c r="O52">
        <v>6292</v>
      </c>
      <c r="P52">
        <v>6728</v>
      </c>
      <c r="Q52">
        <v>8202</v>
      </c>
      <c r="R52" s="4">
        <f t="shared" si="1"/>
        <v>0.57793816418173161</v>
      </c>
    </row>
    <row r="53" spans="1:18" x14ac:dyDescent="0.35">
      <c r="A53" t="s">
        <v>215</v>
      </c>
      <c r="B53" t="s">
        <v>216</v>
      </c>
      <c r="C53" t="s">
        <v>217</v>
      </c>
      <c r="D53" t="s">
        <v>218</v>
      </c>
      <c r="E53" t="s">
        <v>206</v>
      </c>
      <c r="F53" t="s">
        <v>22</v>
      </c>
      <c r="G53" t="s">
        <v>27</v>
      </c>
      <c r="H53" t="s">
        <v>27</v>
      </c>
      <c r="I53" t="s">
        <v>27</v>
      </c>
      <c r="J53" t="s">
        <v>27</v>
      </c>
      <c r="K53" t="s">
        <v>22</v>
      </c>
      <c r="L53" t="s">
        <v>27</v>
      </c>
      <c r="M53">
        <v>8466</v>
      </c>
      <c r="N53">
        <v>4079</v>
      </c>
      <c r="O53">
        <v>2797</v>
      </c>
      <c r="P53">
        <v>2245</v>
      </c>
      <c r="Q53">
        <v>1696</v>
      </c>
      <c r="R53" s="4">
        <f t="shared" si="1"/>
        <v>-0.33098339677163802</v>
      </c>
    </row>
    <row r="54" spans="1:18" x14ac:dyDescent="0.35">
      <c r="A54" t="s">
        <v>219</v>
      </c>
      <c r="B54" t="s">
        <v>220</v>
      </c>
      <c r="C54" t="s">
        <v>221</v>
      </c>
      <c r="D54" t="s">
        <v>222</v>
      </c>
      <c r="E54" t="s">
        <v>206</v>
      </c>
      <c r="F54" t="s">
        <v>22</v>
      </c>
      <c r="G54" t="s">
        <v>22</v>
      </c>
      <c r="H54" t="s">
        <v>22</v>
      </c>
      <c r="I54" t="s">
        <v>27</v>
      </c>
      <c r="J54" t="s">
        <v>27</v>
      </c>
      <c r="K54" t="s">
        <v>22</v>
      </c>
      <c r="L54" t="s">
        <v>27</v>
      </c>
      <c r="M54">
        <v>870</v>
      </c>
      <c r="N54">
        <v>2428</v>
      </c>
      <c r="O54">
        <v>7386</v>
      </c>
      <c r="P54">
        <v>8835</v>
      </c>
      <c r="Q54">
        <v>9766</v>
      </c>
      <c r="R54" s="4">
        <f t="shared" si="1"/>
        <v>0.83041416010220881</v>
      </c>
    </row>
    <row r="55" spans="1:18" x14ac:dyDescent="0.35">
      <c r="A55" t="s">
        <v>223</v>
      </c>
      <c r="B55" t="s">
        <v>224</v>
      </c>
      <c r="C55" t="s">
        <v>225</v>
      </c>
      <c r="D55" t="s">
        <v>226</v>
      </c>
      <c r="E55" t="s">
        <v>206</v>
      </c>
      <c r="F55" t="s">
        <v>22</v>
      </c>
      <c r="G55" t="s">
        <v>22</v>
      </c>
      <c r="H55" t="s">
        <v>22</v>
      </c>
      <c r="I55" t="s">
        <v>27</v>
      </c>
      <c r="J55" t="s">
        <v>27</v>
      </c>
      <c r="K55" t="s">
        <v>22</v>
      </c>
      <c r="L55" t="s">
        <v>27</v>
      </c>
      <c r="M55">
        <v>1497</v>
      </c>
      <c r="N55">
        <v>1768</v>
      </c>
      <c r="O55">
        <v>2804</v>
      </c>
      <c r="P55">
        <v>5718</v>
      </c>
      <c r="Q55">
        <v>9822</v>
      </c>
      <c r="R55" s="4">
        <f t="shared" si="1"/>
        <v>0.60045892388204325</v>
      </c>
    </row>
    <row r="56" spans="1:18" x14ac:dyDescent="0.35">
      <c r="A56" t="s">
        <v>227</v>
      </c>
      <c r="B56" t="s">
        <v>228</v>
      </c>
      <c r="C56" t="s">
        <v>229</v>
      </c>
      <c r="D56" t="s">
        <v>230</v>
      </c>
      <c r="E56" t="s">
        <v>206</v>
      </c>
      <c r="F56" t="s">
        <v>22</v>
      </c>
      <c r="G56" t="s">
        <v>22</v>
      </c>
      <c r="H56" t="s">
        <v>22</v>
      </c>
      <c r="I56" t="s">
        <v>27</v>
      </c>
      <c r="J56" t="s">
        <v>27</v>
      </c>
      <c r="K56" t="s">
        <v>22</v>
      </c>
      <c r="L56" t="s">
        <v>27</v>
      </c>
      <c r="M56">
        <v>1082</v>
      </c>
      <c r="N56">
        <v>3353</v>
      </c>
      <c r="O56">
        <v>6351</v>
      </c>
      <c r="P56">
        <v>8550</v>
      </c>
      <c r="Q56">
        <v>9272</v>
      </c>
      <c r="R56" s="4">
        <f t="shared" si="1"/>
        <v>0.71094693671276654</v>
      </c>
    </row>
    <row r="57" spans="1:18" x14ac:dyDescent="0.35">
      <c r="A57" t="s">
        <v>231</v>
      </c>
      <c r="B57" t="s">
        <v>232</v>
      </c>
      <c r="C57" t="s">
        <v>233</v>
      </c>
      <c r="D57" t="s">
        <v>234</v>
      </c>
      <c r="E57" t="s">
        <v>206</v>
      </c>
      <c r="F57" t="s">
        <v>22</v>
      </c>
      <c r="G57" t="s">
        <v>22</v>
      </c>
      <c r="H57" t="s">
        <v>27</v>
      </c>
      <c r="I57" t="s">
        <v>27</v>
      </c>
      <c r="J57" t="s">
        <v>27</v>
      </c>
      <c r="K57" t="s">
        <v>22</v>
      </c>
      <c r="L57" t="s">
        <v>27</v>
      </c>
      <c r="M57">
        <v>9791</v>
      </c>
      <c r="N57">
        <v>9610</v>
      </c>
      <c r="O57">
        <v>7534</v>
      </c>
      <c r="P57">
        <v>5080</v>
      </c>
      <c r="Q57">
        <v>4936</v>
      </c>
      <c r="R57" s="4">
        <f t="shared" si="1"/>
        <v>-0.15736979056747447</v>
      </c>
    </row>
    <row r="58" spans="1:18" x14ac:dyDescent="0.35">
      <c r="A58" t="s">
        <v>235</v>
      </c>
      <c r="B58" t="s">
        <v>236</v>
      </c>
      <c r="C58" t="s">
        <v>237</v>
      </c>
      <c r="D58" t="s">
        <v>238</v>
      </c>
      <c r="E58" t="s">
        <v>206</v>
      </c>
      <c r="F58" t="s">
        <v>22</v>
      </c>
      <c r="G58" t="s">
        <v>22</v>
      </c>
      <c r="H58" t="s">
        <v>22</v>
      </c>
      <c r="I58" t="s">
        <v>27</v>
      </c>
      <c r="J58" t="s">
        <v>27</v>
      </c>
      <c r="K58" t="s">
        <v>22</v>
      </c>
      <c r="L58" t="s">
        <v>27</v>
      </c>
      <c r="M58">
        <v>1357</v>
      </c>
      <c r="N58">
        <v>4189</v>
      </c>
      <c r="O58">
        <v>5407</v>
      </c>
      <c r="P58">
        <v>6233</v>
      </c>
      <c r="Q58">
        <v>9681</v>
      </c>
      <c r="R58" s="4">
        <f t="shared" si="1"/>
        <v>0.63431246502429839</v>
      </c>
    </row>
    <row r="59" spans="1:18" x14ac:dyDescent="0.35">
      <c r="A59" t="s">
        <v>239</v>
      </c>
      <c r="B59" t="s">
        <v>240</v>
      </c>
      <c r="C59" t="s">
        <v>241</v>
      </c>
      <c r="D59" t="s">
        <v>242</v>
      </c>
      <c r="E59" t="s">
        <v>206</v>
      </c>
      <c r="F59" t="s">
        <v>22</v>
      </c>
      <c r="G59" t="s">
        <v>27</v>
      </c>
      <c r="H59" t="s">
        <v>27</v>
      </c>
      <c r="I59" t="s">
        <v>27</v>
      </c>
      <c r="J59" t="s">
        <v>27</v>
      </c>
      <c r="K59" t="s">
        <v>22</v>
      </c>
      <c r="L59" t="s">
        <v>27</v>
      </c>
      <c r="M59">
        <v>576</v>
      </c>
      <c r="N59">
        <v>2628</v>
      </c>
      <c r="O59">
        <v>3612</v>
      </c>
      <c r="P59">
        <v>5066</v>
      </c>
      <c r="Q59">
        <v>5156</v>
      </c>
      <c r="R59" s="4">
        <f t="shared" si="1"/>
        <v>0.72970725225475852</v>
      </c>
    </row>
    <row r="60" spans="1:18" x14ac:dyDescent="0.35">
      <c r="A60" t="s">
        <v>243</v>
      </c>
      <c r="B60" t="s">
        <v>244</v>
      </c>
      <c r="C60" t="s">
        <v>245</v>
      </c>
      <c r="D60" t="s">
        <v>246</v>
      </c>
      <c r="E60" t="s">
        <v>206</v>
      </c>
      <c r="F60" t="s">
        <v>22</v>
      </c>
      <c r="G60" t="s">
        <v>22</v>
      </c>
      <c r="H60" t="s">
        <v>22</v>
      </c>
      <c r="I60" t="s">
        <v>27</v>
      </c>
      <c r="J60" t="s">
        <v>27</v>
      </c>
      <c r="K60" t="s">
        <v>22</v>
      </c>
      <c r="L60" t="s">
        <v>27</v>
      </c>
      <c r="M60">
        <v>128</v>
      </c>
      <c r="N60">
        <v>416</v>
      </c>
      <c r="O60">
        <v>747</v>
      </c>
      <c r="P60">
        <v>1028</v>
      </c>
      <c r="Q60">
        <v>6357</v>
      </c>
      <c r="R60" s="4">
        <f t="shared" si="1"/>
        <v>1.6546701130112136</v>
      </c>
    </row>
    <row r="61" spans="1:18" x14ac:dyDescent="0.35">
      <c r="A61" t="s">
        <v>247</v>
      </c>
      <c r="B61" t="s">
        <v>248</v>
      </c>
      <c r="C61" t="s">
        <v>249</v>
      </c>
      <c r="D61" t="s">
        <v>250</v>
      </c>
      <c r="E61" t="s">
        <v>206</v>
      </c>
      <c r="F61" t="s">
        <v>22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>
        <v>8034</v>
      </c>
      <c r="N61">
        <v>6541</v>
      </c>
      <c r="O61">
        <v>3311</v>
      </c>
      <c r="P61">
        <v>3254</v>
      </c>
      <c r="Q61">
        <v>2687</v>
      </c>
      <c r="R61" s="4">
        <f t="shared" si="1"/>
        <v>-0.23952671916055424</v>
      </c>
    </row>
    <row r="62" spans="1:18" x14ac:dyDescent="0.35">
      <c r="A62" t="s">
        <v>251</v>
      </c>
      <c r="B62" t="s">
        <v>252</v>
      </c>
      <c r="C62" t="s">
        <v>253</v>
      </c>
      <c r="D62" t="s">
        <v>254</v>
      </c>
      <c r="E62" t="s">
        <v>206</v>
      </c>
      <c r="F62" t="s">
        <v>22</v>
      </c>
      <c r="G62" t="s">
        <v>22</v>
      </c>
      <c r="H62" t="s">
        <v>22</v>
      </c>
      <c r="I62" t="s">
        <v>27</v>
      </c>
      <c r="J62" t="s">
        <v>27</v>
      </c>
      <c r="K62" t="s">
        <v>27</v>
      </c>
      <c r="L62" t="s">
        <v>27</v>
      </c>
      <c r="M62">
        <v>1263</v>
      </c>
      <c r="N62">
        <v>2517</v>
      </c>
      <c r="O62">
        <v>8042</v>
      </c>
      <c r="P62">
        <v>8222</v>
      </c>
      <c r="Q62">
        <v>9686</v>
      </c>
      <c r="R62" s="4">
        <f t="shared" si="1"/>
        <v>0.66412244620782168</v>
      </c>
    </row>
    <row r="63" spans="1:18" x14ac:dyDescent="0.35">
      <c r="A63" t="s">
        <v>255</v>
      </c>
      <c r="B63" t="s">
        <v>256</v>
      </c>
      <c r="C63" t="s">
        <v>257</v>
      </c>
      <c r="D63" t="s">
        <v>258</v>
      </c>
      <c r="E63" t="s">
        <v>206</v>
      </c>
      <c r="F63" t="s">
        <v>22</v>
      </c>
      <c r="G63" t="s">
        <v>22</v>
      </c>
      <c r="H63" t="s">
        <v>22</v>
      </c>
      <c r="I63" t="s">
        <v>27</v>
      </c>
      <c r="J63" t="s">
        <v>27</v>
      </c>
      <c r="K63" t="s">
        <v>27</v>
      </c>
      <c r="L63" t="s">
        <v>27</v>
      </c>
      <c r="M63">
        <v>1032</v>
      </c>
      <c r="N63">
        <v>3919</v>
      </c>
      <c r="O63">
        <v>4466</v>
      </c>
      <c r="P63">
        <v>5568</v>
      </c>
      <c r="Q63">
        <v>6476</v>
      </c>
      <c r="R63" s="4">
        <f t="shared" si="1"/>
        <v>0.58272982283102692</v>
      </c>
    </row>
    <row r="64" spans="1:18" x14ac:dyDescent="0.35">
      <c r="A64" t="s">
        <v>259</v>
      </c>
      <c r="B64" t="s">
        <v>260</v>
      </c>
      <c r="C64" t="s">
        <v>261</v>
      </c>
      <c r="D64" t="s">
        <v>262</v>
      </c>
      <c r="E64" t="s">
        <v>206</v>
      </c>
      <c r="F64" t="s">
        <v>22</v>
      </c>
      <c r="G64" t="s">
        <v>22</v>
      </c>
      <c r="H64" t="s">
        <v>22</v>
      </c>
      <c r="I64" t="s">
        <v>27</v>
      </c>
      <c r="J64" t="s">
        <v>27</v>
      </c>
      <c r="K64" t="s">
        <v>27</v>
      </c>
      <c r="L64" t="s">
        <v>27</v>
      </c>
      <c r="M64">
        <v>1014</v>
      </c>
      <c r="N64">
        <v>2254</v>
      </c>
      <c r="O64">
        <v>4534</v>
      </c>
      <c r="P64">
        <v>6796</v>
      </c>
      <c r="Q64">
        <v>7730</v>
      </c>
      <c r="R64" s="4">
        <f t="shared" si="1"/>
        <v>0.66163405613342663</v>
      </c>
    </row>
  </sheetData>
  <sortState xmlns:xlrd2="http://schemas.microsoft.com/office/spreadsheetml/2017/richdata2" columnSort="1" ref="M64:Q64">
    <sortCondition ref="M64:Q64"/>
  </sortState>
  <mergeCells count="3">
    <mergeCell ref="I3:L3"/>
    <mergeCell ref="M3:Q3"/>
    <mergeCell ref="F3:H3"/>
  </mergeCells>
  <phoneticPr fontId="3" type="noConversion"/>
  <conditionalFormatting sqref="A1:XFD3 A4:Q4 S4:XFD4 A5:XFD1048576">
    <cfRule type="cellIs" dxfId="10" priority="10" operator="equal">
      <formula>"missing value"</formula>
    </cfRule>
  </conditionalFormatting>
  <conditionalFormatting sqref="D9:K19">
    <cfRule type="containsBlanks" dxfId="9" priority="7">
      <formula>LEN(TRIM(D9))=0</formula>
    </cfRule>
  </conditionalFormatting>
  <conditionalFormatting sqref="E9:L20">
    <cfRule type="containsBlanks" dxfId="8" priority="8">
      <formula>LEN(TRIM(E9))=0</formula>
    </cfRule>
    <cfRule type="containsBlanks" priority="9">
      <formula>LEN(TRIM(E9))=0</formula>
    </cfRule>
  </conditionalFormatting>
  <conditionalFormatting sqref="G1:G1048576">
    <cfRule type="cellIs" dxfId="7" priority="5" operator="equal">
      <formula>"no"</formula>
    </cfRule>
  </conditionalFormatting>
  <conditionalFormatting sqref="Q1:Q1048576">
    <cfRule type="top10" dxfId="6" priority="1" percent="1" rank="10"/>
  </conditionalFormatting>
  <conditionalFormatting sqref="R1:R3 R5:R1048576">
    <cfRule type="cellIs" dxfId="5" priority="2" operator="lessThan">
      <formula>0</formula>
    </cfRule>
    <cfRule type="cellIs" dxfId="4" priority="3" operator="greaterThan">
      <formula>1</formula>
    </cfRule>
    <cfRule type="cellIs" dxfId="3" priority="4" operator="equal">
      <formula>1</formula>
    </cfRule>
    <cfRule type="containsErrors" dxfId="2" priority="6">
      <formula>ISERROR(R1)</formula>
    </cfRule>
  </conditionalFormatting>
  <conditionalFormatting sqref="R5:R64">
    <cfRule type="cellIs" dxfId="1" priority="11" operator="equal">
      <formula>"formula error"</formula>
    </cfRule>
    <cfRule type="containsText" dxfId="0" priority="12" operator="containsText" text="value">
      <formula>NOT(ISERROR(SEARCH("value",R5)))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Malone</dc:creator>
  <cp:keywords/>
  <dc:description/>
  <cp:lastModifiedBy>Jayant Shrimali</cp:lastModifiedBy>
  <cp:revision/>
  <dcterms:created xsi:type="dcterms:W3CDTF">2022-01-18T02:47:06Z</dcterms:created>
  <dcterms:modified xsi:type="dcterms:W3CDTF">2025-07-23T06:49:18Z</dcterms:modified>
  <cp:category/>
  <cp:contentStatus/>
</cp:coreProperties>
</file>